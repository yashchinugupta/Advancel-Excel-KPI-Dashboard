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hok\Desktop\high tech - sql +power bi\ms excel interview\Excel Kpi project\"/>
    </mc:Choice>
  </mc:AlternateContent>
  <xr:revisionPtr revIDLastSave="0" documentId="13_ncr:1_{40FE8AD9-6477-4481-82F7-E8E78A8B910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awData" sheetId="3" r:id="rId1"/>
    <sheet name="Advance KPI Dashboard " sheetId="7" r:id="rId2"/>
  </sheets>
  <definedNames>
    <definedName name="EMP">CHOOSE('Advance KPI Dashboard '!A1048576,Finance,Operation,HR)</definedName>
    <definedName name="employee">CHOOSE('Advance KPI Dashboard '!A1048576,Finance,Operation,HR)</definedName>
    <definedName name="EmpName">CHOOSE(#REF!,Finance,Operation,HR)</definedName>
    <definedName name="EmpName1">CHOOSE(#REF!,Finance,Operation,HR)</definedName>
    <definedName name="empp">CHOOSE('Advance KPI Dashboard '!$U$1,Finance,Operation,HR)</definedName>
    <definedName name="emppp">'Advance KPI Dashboard '!$P$13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Year">RawData!$B$2:$AE$2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7" l="1"/>
  <c r="L6" i="7"/>
  <c r="J4" i="7"/>
  <c r="K4" i="7"/>
  <c r="L4" i="7"/>
  <c r="M4" i="7"/>
  <c r="N4" i="7"/>
  <c r="M6" i="7"/>
  <c r="K10" i="7"/>
  <c r="C23" i="7"/>
  <c r="D23" i="7"/>
  <c r="E23" i="7"/>
  <c r="F23" i="7"/>
  <c r="B23" i="7"/>
  <c r="G1" i="3" a="1"/>
  <c r="G1" i="3"/>
  <c r="A19" i="7"/>
  <c r="C18" i="7"/>
  <c r="K11" i="7" s="1"/>
  <c r="D18" i="7"/>
  <c r="L11" i="7" s="1"/>
  <c r="E18" i="7"/>
  <c r="M11" i="7" s="1"/>
  <c r="F18" i="7"/>
  <c r="N11" i="7" s="1"/>
  <c r="B18" i="7"/>
  <c r="J11" i="7" s="1"/>
  <c r="U9" i="7" a="1"/>
  <c r="U9" i="7" s="1"/>
  <c r="U10" i="7" s="1" a="1"/>
  <c r="U10" i="7" s="1"/>
  <c r="H12" i="7" a="1"/>
  <c r="H17" i="7" l="1"/>
  <c r="H18" i="7"/>
  <c r="H19" i="7"/>
  <c r="H20" i="7"/>
  <c r="H21" i="7"/>
  <c r="H13" i="7"/>
  <c r="H14" i="7"/>
  <c r="H15" i="7"/>
  <c r="H12" i="7"/>
  <c r="H16" i="7"/>
  <c r="G17" i="7"/>
  <c r="A30" i="7" a="1"/>
  <c r="A33" i="7" s="1"/>
  <c r="A32" i="7" l="1"/>
  <c r="A31" i="7"/>
  <c r="A30" i="7"/>
  <c r="A34" i="7"/>
  <c r="C29" i="3" l="1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L18" i="7" l="1"/>
  <c r="M13" i="7"/>
  <c r="M19" i="7"/>
  <c r="N14" i="7"/>
  <c r="K17" i="7"/>
  <c r="J17" i="7"/>
  <c r="J18" i="7"/>
  <c r="N21" i="7"/>
  <c r="L19" i="7"/>
  <c r="M14" i="7"/>
  <c r="K12" i="7"/>
  <c r="J16" i="7"/>
  <c r="N20" i="7"/>
  <c r="K18" i="7"/>
  <c r="L13" i="7"/>
  <c r="N15" i="7"/>
  <c r="M20" i="7"/>
  <c r="B19" i="7"/>
  <c r="B20" i="7" s="1"/>
  <c r="F19" i="7"/>
  <c r="F20" i="7" s="1"/>
  <c r="E19" i="7"/>
  <c r="E20" i="7" s="1"/>
  <c r="D19" i="7"/>
  <c r="D20" i="7" s="1"/>
  <c r="C19" i="7"/>
  <c r="C20" i="7" s="1"/>
  <c r="J21" i="7"/>
  <c r="J15" i="7"/>
  <c r="K14" i="7"/>
  <c r="K13" i="7"/>
  <c r="M15" i="7"/>
  <c r="N16" i="7"/>
  <c r="K19" i="7"/>
  <c r="J13" i="7"/>
  <c r="L14" i="7"/>
  <c r="M21" i="7"/>
  <c r="M16" i="7"/>
  <c r="J19" i="7"/>
  <c r="L15" i="7"/>
  <c r="N17" i="7"/>
  <c r="L21" i="7"/>
  <c r="K21" i="7"/>
  <c r="L16" i="7"/>
  <c r="M18" i="7"/>
  <c r="K16" i="7"/>
  <c r="N13" i="7"/>
  <c r="J14" i="7"/>
  <c r="M17" i="7"/>
  <c r="K15" i="7"/>
  <c r="N12" i="7"/>
  <c r="N19" i="7"/>
  <c r="L17" i="7"/>
  <c r="M12" i="7"/>
  <c r="L12" i="7"/>
  <c r="N18" i="7"/>
  <c r="K20" i="7"/>
  <c r="L20" i="7"/>
  <c r="J20" i="7"/>
  <c r="J12" i="7"/>
  <c r="C1" i="3"/>
  <c r="H1" i="3" a="1"/>
  <c r="H1" i="3" s="1"/>
  <c r="F1" i="3"/>
  <c r="I1" i="3"/>
  <c r="I11" i="7" l="1" a="1"/>
  <c r="I16" i="7" s="1"/>
  <c r="I13" i="7" l="1"/>
  <c r="I15" i="7"/>
  <c r="I11" i="7"/>
  <c r="I21" i="7"/>
  <c r="I20" i="7"/>
  <c r="I19" i="7"/>
  <c r="I18" i="7"/>
  <c r="I12" i="7"/>
  <c r="I17" i="7"/>
  <c r="I14" i="7"/>
  <c r="C25" i="7"/>
  <c r="E25" i="7"/>
  <c r="F25" i="7"/>
  <c r="D25" i="7"/>
  <c r="E26" i="7"/>
  <c r="C24" i="7"/>
  <c r="B24" i="7"/>
  <c r="B25" i="7"/>
  <c r="E24" i="7"/>
  <c r="F26" i="7"/>
  <c r="F24" i="7"/>
  <c r="D26" i="7"/>
  <c r="D24" i="7"/>
  <c r="B26" i="7"/>
  <c r="C26" i="7"/>
  <c r="B29" i="7" l="1" a="1"/>
  <c r="D27" i="7"/>
  <c r="E27" i="7"/>
  <c r="F27" i="7"/>
  <c r="C27" i="7"/>
  <c r="B27" i="7"/>
  <c r="G25" i="7"/>
  <c r="G26" i="7"/>
  <c r="G24" i="7"/>
  <c r="D30" i="7" l="1"/>
  <c r="D34" i="7"/>
  <c r="B31" i="7"/>
  <c r="C31" i="7"/>
  <c r="D31" i="7"/>
  <c r="B32" i="7"/>
  <c r="D32" i="7"/>
  <c r="B29" i="7"/>
  <c r="B33" i="7"/>
  <c r="C29" i="7"/>
  <c r="C33" i="7"/>
  <c r="D29" i="7"/>
  <c r="D33" i="7"/>
  <c r="B30" i="7"/>
  <c r="B34" i="7"/>
  <c r="C30" i="7"/>
  <c r="C34" i="7"/>
  <c r="C32" i="7"/>
  <c r="G27" i="7"/>
  <c r="G33" i="7" l="1"/>
  <c r="G32" i="7"/>
  <c r="G34" i="7"/>
  <c r="G31" i="7"/>
  <c r="G30" i="7"/>
</calcChain>
</file>

<file path=xl/sharedStrings.xml><?xml version="1.0" encoding="utf-8"?>
<sst xmlns="http://schemas.openxmlformats.org/spreadsheetml/2006/main" count="52" uniqueCount="44">
  <si>
    <t>Finance</t>
  </si>
  <si>
    <t>EMPNAME</t>
  </si>
  <si>
    <t>Operation</t>
  </si>
  <si>
    <t>HR</t>
  </si>
  <si>
    <t>YEAR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</si>
  <si>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</si>
  <si>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</si>
  <si>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</si>
  <si>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</si>
  <si>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</si>
  <si>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</si>
  <si>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</si>
  <si>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</si>
  <si>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</si>
  <si>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</si>
  <si>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</si>
  <si>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</si>
  <si>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</si>
  <si>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</si>
  <si>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</si>
  <si>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</si>
  <si>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</si>
  <si>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</si>
  <si>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</si>
  <si>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</si>
  <si>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</si>
  <si>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</si>
  <si>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</si>
  <si>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</si>
  <si>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</si>
  <si>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</si>
  <si>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</si>
  <si>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</si>
  <si>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</si>
  <si>
    <t>target</t>
  </si>
  <si>
    <t>FINANCE</t>
  </si>
  <si>
    <t>OPERATION</t>
  </si>
  <si>
    <t>GROSS</t>
  </si>
  <si>
    <t>SUM</t>
  </si>
  <si>
    <t>SPARKLINE</t>
  </si>
  <si>
    <t>COULUMNS BAR</t>
  </si>
  <si>
    <t>AVERAGE</t>
  </si>
  <si>
    <t>EMPLOYEE NAME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</si>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</sst>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/>
  </cellStyleXfs>
  <cellXfs count="27">
    <xf numFmtId="0" fontId="0" fillId="0" borderId="0" xfId="0"/>
    <xf numFmtId="0" fontId="2" fillId="0" borderId="2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2" xfId="0" applyBorder="1"/>
    <xf numFmtId="0" fontId="1" fillId="0" borderId="1" xfId="1"/>
    <xf numFmtId="0" fontId="4" fillId="0" borderId="0" xfId="0" applyFont="1"/>
    <xf numFmtId="0" fontId="0" fillId="4" borderId="0" xfId="0" applyFill="1"/>
    <xf numFmtId="0" fontId="4" fillId="4" borderId="0" xfId="0" applyFont="1" applyFill="1"/>
    <xf numFmtId="0" fontId="4" fillId="4" borderId="0" xfId="0" applyFont="1" applyFill="1" applyBorder="1"/>
    <xf numFmtId="0" fontId="1" fillId="4" borderId="1" xfId="1" applyFill="1"/>
    <xf numFmtId="0" fontId="1" fillId="2" borderId="1" xfId="1" applyFill="1"/>
    <xf numFmtId="0" fontId="1" fillId="3" borderId="1" xfId="1" applyFill="1"/>
    <xf numFmtId="0" fontId="5" fillId="2" borderId="1" xfId="1" applyFont="1" applyFill="1"/>
    <xf numFmtId="1" fontId="1" fillId="0" borderId="1" xfId="1" applyNumberFormat="1" applyAlignment="1">
      <alignment horizontal="left"/>
    </xf>
    <xf numFmtId="0" fontId="0" fillId="5" borderId="0" xfId="0" applyFill="1"/>
    <xf numFmtId="0" fontId="4" fillId="5" borderId="0" xfId="0" applyFont="1" applyFill="1"/>
    <xf numFmtId="0" fontId="4" fillId="5" borderId="0" xfId="0" applyFont="1" applyFill="1" applyBorder="1"/>
    <xf numFmtId="0" fontId="4" fillId="4" borderId="0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3">
    <cellStyle name="Normal" xfId="0" builtinId="0"/>
    <cellStyle name="Normal 3" xfId="2" xr:uid="{D8FE62DC-00D1-422E-8E94-EB1C68252913}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'Advance KPI Dashboard '!$A$19</c:f>
          <c:strCache>
            <c:ptCount val="1"/>
            <c:pt idx="0">
              <c:v>SUDHAKAR ARYA</c:v>
            </c:pt>
          </c:strCache>
        </c:strRef>
      </c:tx>
      <c:layout>
        <c:manualLayout>
          <c:xMode val="edge"/>
          <c:yMode val="edge"/>
          <c:x val="0.3167263671959038"/>
          <c:y val="5.4982817869415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93283421539521E-2"/>
          <c:y val="0.18207917309305405"/>
          <c:w val="0.84942235704143543"/>
          <c:h val="0.4284303379603322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'Advance KPI Dashboard '!$A$19</c:f>
              <c:strCache>
                <c:ptCount val="1"/>
                <c:pt idx="0">
                  <c:v>SUDHAKAR ARYA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'Advance KPI Dashboard '!$B$18:$F$18</c:f>
              <c:numCache>
                <c:formatCode>General</c:formatCode>
                <c:ptCount val="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</c:numCache>
            </c:numRef>
          </c:cat>
          <c:val>
            <c:numRef>
              <c:f>'Advance KPI Dashboard '!$B$19:$F$19</c:f>
              <c:numCache>
                <c:formatCode>General</c:formatCode>
                <c:ptCount val="5"/>
                <c:pt idx="0">
                  <c:v>63</c:v>
                </c:pt>
                <c:pt idx="1">
                  <c:v>622</c:v>
                </c:pt>
                <c:pt idx="2">
                  <c:v>25</c:v>
                </c:pt>
                <c:pt idx="3">
                  <c:v>644</c:v>
                </c:pt>
                <c:pt idx="4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A8-4430-9D77-FB1BF0A49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06385048"/>
        <c:axId val="5063860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'Advance KPI Dashboard '!$A$18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'Advance KPI Dashboard '!$B$18:$F$18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'Advance KPI Dashboard '!$B$18:$F$18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6A8-4430-9D77-FB1BF0A4919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'Advance KPI Dashboard '!$A$20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'Advance KPI Dashboard '!$B$18:$F$18</c:f>
              <c:numCache>
                <c:formatCode>General</c:formatCode>
                <c:ptCount val="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</c:numCache>
            </c:numRef>
          </c:cat>
          <c:val>
            <c:numRef>
              <c:f>'Advance KPI Dashboard '!$B$20:$F$20</c:f>
              <c:numCache>
                <c:formatCode>General</c:formatCode>
                <c:ptCount val="5"/>
                <c:pt idx="0">
                  <c:v>76</c:v>
                </c:pt>
                <c:pt idx="1">
                  <c:v>640</c:v>
                </c:pt>
                <c:pt idx="2">
                  <c:v>114</c:v>
                </c:pt>
                <c:pt idx="3">
                  <c:v>644</c:v>
                </c:pt>
                <c:pt idx="4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A8-4430-9D77-FB1BF0A49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85048"/>
        <c:axId val="506386032"/>
      </c:lineChart>
      <c:catAx>
        <c:axId val="506385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86032"/>
        <c:crosses val="autoZero"/>
        <c:auto val="1"/>
        <c:lblAlgn val="ctr"/>
        <c:lblOffset val="100"/>
        <c:noMultiLvlLbl val="0"/>
      </c:catAx>
      <c:valAx>
        <c:axId val="5063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8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'Advance KPI Dashboard '!$G$17</c:f>
          <c:strCache>
            <c:ptCount val="1"/>
            <c:pt idx="0">
              <c:v>2001 TO 2005</c:v>
            </c:pt>
          </c:strCache>
        </c:strRef>
      </c:tx>
      <c:layout>
        <c:manualLayout>
          <c:xMode val="edge"/>
          <c:yMode val="edge"/>
          <c:x val="0.36681240121227943"/>
          <c:y val="3.09119010819165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'Advance KPI Dashboard '!$A$24:$A$26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'Advance KPI Dashboard '!$G$24:$G$26</c:f>
              <c:numCache>
                <c:formatCode>General</c:formatCode>
                <c:ptCount val="3"/>
                <c:pt idx="0">
                  <c:v>26074</c:v>
                </c:pt>
                <c:pt idx="1">
                  <c:v>24219</c:v>
                </c:pt>
                <c:pt idx="2">
                  <c:v>26273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F-4EFE-B4DB-4B7A6929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356960"/>
        <c:axId val="602352368"/>
      </c:barChart>
      <c:catAx>
        <c:axId val="60235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52368"/>
        <c:crosses val="autoZero"/>
        <c:auto val="1"/>
        <c:lblAlgn val="ctr"/>
        <c:lblOffset val="100"/>
        <c:noMultiLvlLbl val="0"/>
      </c:catAx>
      <c:valAx>
        <c:axId val="602352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35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'Advance KPI Dashboard '!$I$4</c:f>
          <c:strCache>
            <c:ptCount val="1"/>
            <c:pt idx="0">
              <c:v>YEAR :2005    |     DEPARTMENT: OPERATION</c:v>
            </c:pt>
          </c:strCache>
        </c:strRef>
      </c:tx>
      <c:layout>
        <c:manualLayout>
          <c:xMode val="edge"/>
          <c:yMode val="edge"/>
          <c:x val="0.2568671624380286"/>
          <c:y val="3.7801608579088472E-2"/>
        </c:manualLayout>
      </c:layout>
      <c:overlay val="0"/>
      <c:spPr>
        <a:solidFill>
          <a:schemeClr val="accent2"/>
        </a:solidFill>
        <a:ln w="12700" cap="flat" cmpd="sng" algn="ctr">
          <a:solidFill>
            <a:schemeClr val="accent2">
              <a:shade val="50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957560679507902E-2"/>
          <c:y val="0.17039660056657227"/>
          <c:w val="0.87097878033975396"/>
          <c:h val="0.5042385105544526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'Advance KPI Dashboard '!$H$12:$H$21</c:f>
              <c:strCache>
                <c:ptCount val="8"/>
                <c:pt idx="0">
                  <c:v>HARIVANSH GAUTAM</c:v>
                </c:pt>
                <c:pt idx="1">
                  <c:v>VINI SAINI</c:v>
                </c:pt>
                <c:pt idx="2">
                  <c:v>ANAND SINGH RAJPUT</c:v>
                </c:pt>
                <c:pt idx="3">
                  <c:v>SANDEEP ASWAL</c:v>
                </c:pt>
                <c:pt idx="4">
                  <c:v>KARAN KAPOOR</c:v>
                </c:pt>
                <c:pt idx="5">
                  <c:v>SUDHAKAR ARYA</c:v>
                </c:pt>
                <c:pt idx="6">
                  <c:v>ARJUN SHAW</c:v>
                </c:pt>
                <c:pt idx="7">
                  <c:v>MANPREET KAUR</c:v>
                </c:pt>
              </c:strCache>
            </c:strRef>
          </c:cat>
          <c:val>
            <c:numRef>
              <c:f>'Advance KPI Dashboard '!$I$12:$I$21</c:f>
              <c:numCache>
                <c:formatCode>General</c:formatCode>
                <c:ptCount val="8"/>
                <c:pt idx="0">
                  <c:v>551</c:v>
                </c:pt>
                <c:pt idx="1">
                  <c:v>392</c:v>
                </c:pt>
                <c:pt idx="2">
                  <c:v>924</c:v>
                </c:pt>
                <c:pt idx="3">
                  <c:v>525</c:v>
                </c:pt>
                <c:pt idx="4">
                  <c:v>448</c:v>
                </c:pt>
                <c:pt idx="5">
                  <c:v>425</c:v>
                </c:pt>
                <c:pt idx="6">
                  <c:v>100</c:v>
                </c:pt>
                <c:pt idx="7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C-42B2-A522-17DF5BBE6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706184"/>
        <c:axId val="662705528"/>
      </c:barChart>
      <c:catAx>
        <c:axId val="662706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05528"/>
        <c:crosses val="autoZero"/>
        <c:auto val="1"/>
        <c:lblAlgn val="ctr"/>
        <c:lblOffset val="100"/>
        <c:noMultiLvlLbl val="0"/>
      </c:catAx>
      <c:valAx>
        <c:axId val="662705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06184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'Advance KPI Dashboard '!$I$4</c:f>
          <c:strCache>
            <c:ptCount val="1"/>
            <c:pt idx="0">
              <c:v>YEAR :2005    |     DEPARTMENT: OPERATION</c:v>
            </c:pt>
          </c:strCache>
        </c:strRef>
      </c:tx>
      <c:layout>
        <c:manualLayout>
          <c:xMode val="edge"/>
          <c:yMode val="edge"/>
          <c:x val="0.19070271216097986"/>
          <c:y val="5.41966657837495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05-4BFA-9AD6-0A17324ED3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05-4BFA-9AD6-0A17324ED3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05-4BFA-9AD6-0A17324ED3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05-4BFA-9AD6-0A17324ED38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05-4BFA-9AD6-0A17324ED38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D05-4BFA-9AD6-0A17324ED38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D05-4BFA-9AD6-0A17324ED38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D05-4BFA-9AD6-0A17324ED386}"/>
              </c:ext>
            </c:extLst>
          </c:dPt>
          <c:cat>
            <c:strRef>
              <c:f>'Advance KPI Dashboard '!$H$12:$H$21</c:f>
              <c:strCache>
                <c:ptCount val="8"/>
                <c:pt idx="0">
                  <c:v>HARIVANSH GAUTAM</c:v>
                </c:pt>
                <c:pt idx="1">
                  <c:v>VINI SAINI</c:v>
                </c:pt>
                <c:pt idx="2">
                  <c:v>ANAND SINGH RAJPUT</c:v>
                </c:pt>
                <c:pt idx="3">
                  <c:v>SANDEEP ASWAL</c:v>
                </c:pt>
                <c:pt idx="4">
                  <c:v>KARAN KAPOOR</c:v>
                </c:pt>
                <c:pt idx="5">
                  <c:v>SUDHAKAR ARYA</c:v>
                </c:pt>
                <c:pt idx="6">
                  <c:v>ARJUN SHAW</c:v>
                </c:pt>
                <c:pt idx="7">
                  <c:v>MANPREET KAUR</c:v>
                </c:pt>
              </c:strCache>
            </c:strRef>
          </c:cat>
          <c:val>
            <c:numRef>
              <c:f>'Advance KPI Dashboard '!$I$12:$I$21</c:f>
              <c:numCache>
                <c:formatCode>General</c:formatCode>
                <c:ptCount val="8"/>
                <c:pt idx="0">
                  <c:v>551</c:v>
                </c:pt>
                <c:pt idx="1">
                  <c:v>392</c:v>
                </c:pt>
                <c:pt idx="2">
                  <c:v>924</c:v>
                </c:pt>
                <c:pt idx="3">
                  <c:v>525</c:v>
                </c:pt>
                <c:pt idx="4">
                  <c:v>448</c:v>
                </c:pt>
                <c:pt idx="5">
                  <c:v>425</c:v>
                </c:pt>
                <c:pt idx="6">
                  <c:v>100</c:v>
                </c:pt>
                <c:pt idx="7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9-405A-9AA3-92D32DA1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U$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6" fmlaLink="$T$9" fmlaRange="empp" noThreeD="1" sel="8" val="2"/>
</file>

<file path=xl/ctrlProps/ctrlProp5.xml><?xml version="1.0" encoding="utf-8"?>
<formControlPr xmlns="http://schemas.microsoft.com/office/spreadsheetml/2009/9/main" objectType="Scroll" dx="26" fmlaLink="$T$1" horiz="1" max="3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16</xdr:row>
      <xdr:rowOff>91440</xdr:rowOff>
    </xdr:from>
    <xdr:to>
      <xdr:col>8</xdr:col>
      <xdr:colOff>144780</xdr:colOff>
      <xdr:row>18</xdr:row>
      <xdr:rowOff>160020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678680" y="2103120"/>
          <a:ext cx="1440180" cy="44196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205740</xdr:colOff>
      <xdr:row>0</xdr:row>
      <xdr:rowOff>0</xdr:rowOff>
    </xdr:from>
    <xdr:to>
      <xdr:col>7</xdr:col>
      <xdr:colOff>1303020</xdr:colOff>
      <xdr:row>13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831080" y="0"/>
          <a:ext cx="1097280" cy="19431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3</xdr:row>
          <xdr:rowOff>175260</xdr:rowOff>
        </xdr:from>
        <xdr:to>
          <xdr:col>7</xdr:col>
          <xdr:colOff>1150620</xdr:colOff>
          <xdr:row>5</xdr:row>
          <xdr:rowOff>83820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59D5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7</xdr:row>
          <xdr:rowOff>91440</xdr:rowOff>
        </xdr:from>
        <xdr:to>
          <xdr:col>7</xdr:col>
          <xdr:colOff>1158240</xdr:colOff>
          <xdr:row>9</xdr:row>
          <xdr:rowOff>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59D5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10</xdr:row>
          <xdr:rowOff>99060</xdr:rowOff>
        </xdr:from>
        <xdr:to>
          <xdr:col>7</xdr:col>
          <xdr:colOff>1165860</xdr:colOff>
          <xdr:row>12</xdr:row>
          <xdr:rowOff>7620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59D5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388620</xdr:colOff>
      <xdr:row>19</xdr:row>
      <xdr:rowOff>91440</xdr:rowOff>
    </xdr:from>
    <xdr:to>
      <xdr:col>7</xdr:col>
      <xdr:colOff>1257300</xdr:colOff>
      <xdr:row>22</xdr:row>
      <xdr:rowOff>167640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013960" y="2674620"/>
          <a:ext cx="868680" cy="6477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EMPLOYEE</a:t>
          </a:r>
        </a:p>
        <a:p>
          <a:pPr algn="ctr"/>
          <a:r>
            <a:rPr lang="en-IN" sz="1000" b="1"/>
            <a:t>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16</xdr:row>
          <xdr:rowOff>160020</xdr:rowOff>
        </xdr:from>
        <xdr:to>
          <xdr:col>8</xdr:col>
          <xdr:colOff>76200</xdr:colOff>
          <xdr:row>18</xdr:row>
          <xdr:rowOff>53340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45720</xdr:colOff>
      <xdr:row>15</xdr:row>
      <xdr:rowOff>167640</xdr:rowOff>
    </xdr:from>
    <xdr:to>
      <xdr:col>5</xdr:col>
      <xdr:colOff>579120</xdr:colOff>
      <xdr:row>16</xdr:row>
      <xdr:rowOff>160020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5720" y="1264920"/>
          <a:ext cx="3581400" cy="175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769620</xdr:colOff>
          <xdr:row>16</xdr:row>
          <xdr:rowOff>15240</xdr:rowOff>
        </xdr:from>
        <xdr:to>
          <xdr:col>4</xdr:col>
          <xdr:colOff>114300</xdr:colOff>
          <xdr:row>16</xdr:row>
          <xdr:rowOff>175260</xdr:rowOff>
        </xdr:to>
        <xdr:sp macro="" textlink="">
          <xdr:nvSpPr>
            <xdr:cNvPr id="5126" name="Scroll Ba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22860</xdr:colOff>
      <xdr:row>3</xdr:row>
      <xdr:rowOff>7620</xdr:rowOff>
    </xdr:from>
    <xdr:to>
      <xdr:col>6</xdr:col>
      <xdr:colOff>937260</xdr:colOff>
      <xdr:row>13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182880</xdr:colOff>
      <xdr:row>20</xdr:row>
      <xdr:rowOff>53340</xdr:rowOff>
    </xdr:from>
    <xdr:to>
      <xdr:col>16</xdr:col>
      <xdr:colOff>502920</xdr:colOff>
      <xdr:row>33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327660</xdr:colOff>
      <xdr:row>3</xdr:row>
      <xdr:rowOff>45720</xdr:rowOff>
    </xdr:from>
    <xdr:to>
      <xdr:col>16</xdr:col>
      <xdr:colOff>83820</xdr:colOff>
      <xdr:row>19</xdr:row>
      <xdr:rowOff>182880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83820</xdr:colOff>
      <xdr:row>3</xdr:row>
      <xdr:rowOff>60960</xdr:rowOff>
    </xdr:from>
    <xdr:to>
      <xdr:col>20</xdr:col>
      <xdr:colOff>312420</xdr:colOff>
      <xdr:row>19</xdr:row>
      <xdr:rowOff>190500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8"/>
  <sheetViews>
    <sheetView tabSelected="1" topLeftCell="A14" workbookViewId="0">
      <selection activeCell="C26" sqref="C26"/>
    </sheetView>
  </sheetViews>
  <sheetFormatPr defaultRowHeight="14.4" x14ac:dyDescent="0.3"/>
  <cols>
    <col min="1" max="1" width="29.44140625" bestFit="1" customWidth="1"/>
    <col min="2" max="2" width="6.109375" customWidth="1"/>
    <col min="3" max="3" width="11.33203125" customWidth="1"/>
  </cols>
  <sheetData>
    <row r="1" spans="1:31" x14ac:dyDescent="0.3">
      <c r="A1" t="s">
        <v>0</v>
      </c>
      <c r="C1">
        <f ca="1">SUMPRODUCT((Year=2005)*Finance_Data)</f>
        <v>4001</v>
      </c>
      <c r="F1">
        <f ca="1">SUM(Finance_Data)</f>
        <v>152203</v>
      </c>
      <c r="G1" t="str">
        <f t="array" ref="G1">IF(Year=2011,"Y","no")</f>
        <v>no</v>
      </c>
      <c r="H1" t="str">
        <f t="array" aca="1" ref="H1" ca="1">IF(Year=2004,SUMPRODUCT((Year=2004)*Finance_Data),"n")</f>
        <v>n</v>
      </c>
      <c r="I1">
        <f ca="1">SUM(B3:B12)</f>
        <v>6281</v>
      </c>
    </row>
    <row r="2" spans="1:31" x14ac:dyDescent="0.3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3">
      <c r="A3" s="4" t="s">
        <v>5</v>
      </c>
      <c r="B3" s="4">
        <f ca="1">RANDBETWEEN(1,1000)</f>
        <v>226</v>
      </c>
      <c r="C3" s="4">
        <f t="shared" ref="C3:AE12" ca="1" si="0">RANDBETWEEN(1,1000)</f>
        <v>824</v>
      </c>
      <c r="D3" s="4">
        <f t="shared" ca="1" si="0"/>
        <v>148</v>
      </c>
      <c r="E3" s="4">
        <f t="shared" ca="1" si="0"/>
        <v>97</v>
      </c>
      <c r="F3" s="4">
        <f t="shared" ca="1" si="0"/>
        <v>284</v>
      </c>
      <c r="G3" s="4">
        <f t="shared" ca="1" si="0"/>
        <v>890</v>
      </c>
      <c r="H3" s="4">
        <f t="shared" ca="1" si="0"/>
        <v>974</v>
      </c>
      <c r="I3" s="4">
        <f t="shared" ca="1" si="0"/>
        <v>660</v>
      </c>
      <c r="J3" s="4">
        <f t="shared" ca="1" si="0"/>
        <v>975</v>
      </c>
      <c r="K3" s="4">
        <f t="shared" ca="1" si="0"/>
        <v>713</v>
      </c>
      <c r="L3" s="4">
        <f t="shared" ca="1" si="0"/>
        <v>358</v>
      </c>
      <c r="M3" s="4">
        <f t="shared" ca="1" si="0"/>
        <v>978</v>
      </c>
      <c r="N3" s="4">
        <f t="shared" ca="1" si="0"/>
        <v>909</v>
      </c>
      <c r="O3" s="4">
        <f t="shared" ca="1" si="0"/>
        <v>449</v>
      </c>
      <c r="P3" s="4">
        <f t="shared" ca="1" si="0"/>
        <v>63</v>
      </c>
      <c r="Q3" s="4">
        <f t="shared" ca="1" si="0"/>
        <v>427</v>
      </c>
      <c r="R3" s="4">
        <f t="shared" ca="1" si="0"/>
        <v>810</v>
      </c>
      <c r="S3" s="4">
        <f t="shared" ca="1" si="0"/>
        <v>949</v>
      </c>
      <c r="T3" s="4">
        <f t="shared" ca="1" si="0"/>
        <v>879</v>
      </c>
      <c r="U3" s="4">
        <f t="shared" ca="1" si="0"/>
        <v>129</v>
      </c>
      <c r="V3" s="4">
        <f t="shared" ca="1" si="0"/>
        <v>505</v>
      </c>
      <c r="W3" s="4">
        <f t="shared" ca="1" si="0"/>
        <v>389</v>
      </c>
      <c r="X3" s="4">
        <f t="shared" ca="1" si="0"/>
        <v>331</v>
      </c>
      <c r="Y3" s="4">
        <f t="shared" ca="1" si="0"/>
        <v>533</v>
      </c>
      <c r="Z3" s="4">
        <f t="shared" ca="1" si="0"/>
        <v>972</v>
      </c>
      <c r="AA3" s="4">
        <f t="shared" ca="1" si="0"/>
        <v>46</v>
      </c>
      <c r="AB3" s="4">
        <f t="shared" ca="1" si="0"/>
        <v>483</v>
      </c>
      <c r="AC3" s="4">
        <f t="shared" ca="1" si="0"/>
        <v>367</v>
      </c>
      <c r="AD3" s="4">
        <f t="shared" ca="1" si="0"/>
        <v>3</v>
      </c>
      <c r="AE3" s="4">
        <f t="shared" ca="1" si="0"/>
        <v>781</v>
      </c>
    </row>
    <row r="4" spans="1:31" x14ac:dyDescent="0.3">
      <c r="A4" s="4" t="s">
        <v>6</v>
      </c>
      <c r="B4" s="4">
        <f t="shared" ref="B4:Q12" ca="1" si="1">RANDBETWEEN(1,1000)</f>
        <v>152</v>
      </c>
      <c r="C4" s="4">
        <f t="shared" ca="1" si="1"/>
        <v>637</v>
      </c>
      <c r="D4" s="4">
        <f t="shared" ca="1" si="1"/>
        <v>625</v>
      </c>
      <c r="E4" s="4">
        <f t="shared" ca="1" si="1"/>
        <v>26</v>
      </c>
      <c r="F4" s="4">
        <f t="shared" ca="1" si="1"/>
        <v>75</v>
      </c>
      <c r="G4" s="4">
        <f t="shared" ca="1" si="1"/>
        <v>763</v>
      </c>
      <c r="H4" s="4">
        <f t="shared" ca="1" si="1"/>
        <v>848</v>
      </c>
      <c r="I4" s="4">
        <f t="shared" ca="1" si="1"/>
        <v>213</v>
      </c>
      <c r="J4" s="4">
        <f t="shared" ca="1" si="1"/>
        <v>252</v>
      </c>
      <c r="K4" s="4">
        <f t="shared" ca="1" si="1"/>
        <v>743</v>
      </c>
      <c r="L4" s="4">
        <f t="shared" ca="1" si="1"/>
        <v>291</v>
      </c>
      <c r="M4" s="4">
        <f t="shared" ca="1" si="1"/>
        <v>611</v>
      </c>
      <c r="N4" s="4">
        <f t="shared" ca="1" si="1"/>
        <v>175</v>
      </c>
      <c r="O4" s="4">
        <f t="shared" ca="1" si="1"/>
        <v>250</v>
      </c>
      <c r="P4" s="4">
        <f t="shared" ca="1" si="1"/>
        <v>630</v>
      </c>
      <c r="Q4" s="4">
        <f t="shared" ca="1" si="1"/>
        <v>624</v>
      </c>
      <c r="R4" s="4">
        <f t="shared" ca="1" si="0"/>
        <v>447</v>
      </c>
      <c r="S4" s="4">
        <f t="shared" ca="1" si="0"/>
        <v>251</v>
      </c>
      <c r="T4" s="4">
        <f t="shared" ca="1" si="0"/>
        <v>312</v>
      </c>
      <c r="U4" s="4">
        <f t="shared" ca="1" si="0"/>
        <v>765</v>
      </c>
      <c r="V4" s="4">
        <f t="shared" ca="1" si="0"/>
        <v>131</v>
      </c>
      <c r="W4" s="4">
        <f t="shared" ca="1" si="0"/>
        <v>90</v>
      </c>
      <c r="X4" s="4">
        <f t="shared" ca="1" si="0"/>
        <v>11</v>
      </c>
      <c r="Y4" s="4">
        <f t="shared" ca="1" si="0"/>
        <v>442</v>
      </c>
      <c r="Z4" s="4">
        <f t="shared" ca="1" si="0"/>
        <v>220</v>
      </c>
      <c r="AA4" s="4">
        <f t="shared" ca="1" si="0"/>
        <v>85</v>
      </c>
      <c r="AB4" s="4">
        <f t="shared" ca="1" si="0"/>
        <v>234</v>
      </c>
      <c r="AC4" s="4">
        <f t="shared" ca="1" si="0"/>
        <v>389</v>
      </c>
      <c r="AD4" s="4">
        <f t="shared" ca="1" si="0"/>
        <v>567</v>
      </c>
      <c r="AE4" s="4">
        <f t="shared" ca="1" si="0"/>
        <v>689</v>
      </c>
    </row>
    <row r="5" spans="1:31" x14ac:dyDescent="0.3">
      <c r="A5" s="4" t="s">
        <v>7</v>
      </c>
      <c r="B5" s="4">
        <f t="shared" ca="1" si="1"/>
        <v>917</v>
      </c>
      <c r="C5" s="4">
        <f t="shared" ca="1" si="0"/>
        <v>109</v>
      </c>
      <c r="D5" s="4">
        <f t="shared" ca="1" si="0"/>
        <v>484</v>
      </c>
      <c r="E5" s="4">
        <f t="shared" ca="1" si="0"/>
        <v>906</v>
      </c>
      <c r="F5" s="4">
        <f t="shared" ca="1" si="0"/>
        <v>751</v>
      </c>
      <c r="G5" s="4">
        <f t="shared" ca="1" si="0"/>
        <v>906</v>
      </c>
      <c r="H5" s="4">
        <f t="shared" ca="1" si="0"/>
        <v>812</v>
      </c>
      <c r="I5" s="4">
        <f t="shared" ca="1" si="0"/>
        <v>664</v>
      </c>
      <c r="J5" s="4">
        <f t="shared" ca="1" si="0"/>
        <v>757</v>
      </c>
      <c r="K5" s="4">
        <f t="shared" ca="1" si="0"/>
        <v>723</v>
      </c>
      <c r="L5" s="4">
        <f t="shared" ca="1" si="0"/>
        <v>115</v>
      </c>
      <c r="M5" s="4">
        <f t="shared" ca="1" si="0"/>
        <v>388</v>
      </c>
      <c r="N5" s="4">
        <f t="shared" ca="1" si="0"/>
        <v>927</v>
      </c>
      <c r="O5" s="4">
        <f t="shared" ca="1" si="0"/>
        <v>950</v>
      </c>
      <c r="P5" s="4">
        <f t="shared" ca="1" si="0"/>
        <v>766</v>
      </c>
      <c r="Q5" s="4">
        <f t="shared" ca="1" si="0"/>
        <v>311</v>
      </c>
      <c r="R5" s="4">
        <f t="shared" ca="1" si="0"/>
        <v>590</v>
      </c>
      <c r="S5" s="4">
        <f t="shared" ca="1" si="0"/>
        <v>477</v>
      </c>
      <c r="T5" s="4">
        <f t="shared" ca="1" si="0"/>
        <v>276</v>
      </c>
      <c r="U5" s="4">
        <f t="shared" ca="1" si="0"/>
        <v>930</v>
      </c>
      <c r="V5" s="4">
        <f t="shared" ca="1" si="0"/>
        <v>779</v>
      </c>
      <c r="W5" s="4">
        <f t="shared" ca="1" si="0"/>
        <v>389</v>
      </c>
      <c r="X5" s="4">
        <f t="shared" ca="1" si="0"/>
        <v>27</v>
      </c>
      <c r="Y5" s="4">
        <f t="shared" ca="1" si="0"/>
        <v>528</v>
      </c>
      <c r="Z5" s="4">
        <f t="shared" ca="1" si="0"/>
        <v>474</v>
      </c>
      <c r="AA5" s="4">
        <f t="shared" ca="1" si="0"/>
        <v>544</v>
      </c>
      <c r="AB5" s="4">
        <f t="shared" ca="1" si="0"/>
        <v>157</v>
      </c>
      <c r="AC5" s="4">
        <f t="shared" ca="1" si="0"/>
        <v>612</v>
      </c>
      <c r="AD5" s="4">
        <f t="shared" ca="1" si="0"/>
        <v>513</v>
      </c>
      <c r="AE5" s="4">
        <f t="shared" ca="1" si="0"/>
        <v>984</v>
      </c>
    </row>
    <row r="6" spans="1:31" x14ac:dyDescent="0.3">
      <c r="A6" s="4" t="s">
        <v>8</v>
      </c>
      <c r="B6" s="4">
        <f t="shared" ca="1" si="1"/>
        <v>682</v>
      </c>
      <c r="C6" s="4">
        <f t="shared" ca="1" si="0"/>
        <v>346</v>
      </c>
      <c r="D6" s="4">
        <f t="shared" ca="1" si="0"/>
        <v>412</v>
      </c>
      <c r="E6" s="4">
        <f t="shared" ca="1" si="0"/>
        <v>469</v>
      </c>
      <c r="F6" s="4">
        <f t="shared" ca="1" si="0"/>
        <v>636</v>
      </c>
      <c r="G6" s="4">
        <f t="shared" ca="1" si="0"/>
        <v>523</v>
      </c>
      <c r="H6" s="4">
        <f t="shared" ca="1" si="0"/>
        <v>472</v>
      </c>
      <c r="I6" s="4">
        <f t="shared" ca="1" si="0"/>
        <v>654</v>
      </c>
      <c r="J6" s="4">
        <f t="shared" ca="1" si="0"/>
        <v>146</v>
      </c>
      <c r="K6" s="4">
        <f t="shared" ca="1" si="0"/>
        <v>757</v>
      </c>
      <c r="L6" s="4">
        <f t="shared" ca="1" si="0"/>
        <v>641</v>
      </c>
      <c r="M6" s="4">
        <f t="shared" ca="1" si="0"/>
        <v>872</v>
      </c>
      <c r="N6" s="4">
        <f t="shared" ca="1" si="0"/>
        <v>7</v>
      </c>
      <c r="O6" s="4">
        <f t="shared" ca="1" si="0"/>
        <v>27</v>
      </c>
      <c r="P6" s="4">
        <f t="shared" ca="1" si="0"/>
        <v>772</v>
      </c>
      <c r="Q6" s="4">
        <f t="shared" ca="1" si="0"/>
        <v>652</v>
      </c>
      <c r="R6" s="4">
        <f t="shared" ca="1" si="0"/>
        <v>918</v>
      </c>
      <c r="S6" s="4">
        <f t="shared" ca="1" si="0"/>
        <v>797</v>
      </c>
      <c r="T6" s="4">
        <f t="shared" ca="1" si="0"/>
        <v>29</v>
      </c>
      <c r="U6" s="4">
        <f t="shared" ca="1" si="0"/>
        <v>909</v>
      </c>
      <c r="V6" s="4">
        <f t="shared" ca="1" si="0"/>
        <v>623</v>
      </c>
      <c r="W6" s="4">
        <f t="shared" ca="1" si="0"/>
        <v>745</v>
      </c>
      <c r="X6" s="4">
        <f t="shared" ca="1" si="0"/>
        <v>171</v>
      </c>
      <c r="Y6" s="4">
        <f t="shared" ca="1" si="0"/>
        <v>545</v>
      </c>
      <c r="Z6" s="4">
        <f t="shared" ca="1" si="0"/>
        <v>6</v>
      </c>
      <c r="AA6" s="4">
        <f t="shared" ca="1" si="0"/>
        <v>661</v>
      </c>
      <c r="AB6" s="4">
        <f t="shared" ca="1" si="0"/>
        <v>759</v>
      </c>
      <c r="AC6" s="4">
        <f t="shared" ca="1" si="0"/>
        <v>729</v>
      </c>
      <c r="AD6" s="4">
        <f t="shared" ca="1" si="0"/>
        <v>857</v>
      </c>
      <c r="AE6" s="4">
        <f t="shared" ca="1" si="0"/>
        <v>17</v>
      </c>
    </row>
    <row r="7" spans="1:31" x14ac:dyDescent="0.3">
      <c r="A7" s="4" t="s">
        <v>9</v>
      </c>
      <c r="B7" s="4">
        <f t="shared" ca="1" si="1"/>
        <v>958</v>
      </c>
      <c r="C7" s="4">
        <f t="shared" ca="1" si="0"/>
        <v>837</v>
      </c>
      <c r="D7" s="4">
        <f t="shared" ca="1" si="0"/>
        <v>334</v>
      </c>
      <c r="E7" s="4">
        <f t="shared" ca="1" si="0"/>
        <v>957</v>
      </c>
      <c r="F7" s="4">
        <f t="shared" ca="1" si="0"/>
        <v>100</v>
      </c>
      <c r="G7" s="4">
        <f t="shared" ca="1" si="0"/>
        <v>825</v>
      </c>
      <c r="H7" s="4">
        <f t="shared" ca="1" si="0"/>
        <v>921</v>
      </c>
      <c r="I7" s="4">
        <f t="shared" ca="1" si="0"/>
        <v>117</v>
      </c>
      <c r="J7" s="4">
        <f t="shared" ca="1" si="0"/>
        <v>574</v>
      </c>
      <c r="K7" s="4">
        <f t="shared" ca="1" si="0"/>
        <v>918</v>
      </c>
      <c r="L7" s="4">
        <f t="shared" ca="1" si="0"/>
        <v>297</v>
      </c>
      <c r="M7" s="4">
        <f t="shared" ca="1" si="0"/>
        <v>492</v>
      </c>
      <c r="N7" s="4">
        <f t="shared" ca="1" si="0"/>
        <v>945</v>
      </c>
      <c r="O7" s="4">
        <f t="shared" ca="1" si="0"/>
        <v>219</v>
      </c>
      <c r="P7" s="4">
        <f t="shared" ca="1" si="0"/>
        <v>100</v>
      </c>
      <c r="Q7" s="4">
        <f t="shared" ca="1" si="0"/>
        <v>495</v>
      </c>
      <c r="R7" s="4">
        <f t="shared" ca="1" si="0"/>
        <v>480</v>
      </c>
      <c r="S7" s="4">
        <f t="shared" ca="1" si="0"/>
        <v>954</v>
      </c>
      <c r="T7" s="4">
        <f t="shared" ca="1" si="0"/>
        <v>291</v>
      </c>
      <c r="U7" s="4">
        <f t="shared" ca="1" si="0"/>
        <v>28</v>
      </c>
      <c r="V7" s="4">
        <f t="shared" ca="1" si="0"/>
        <v>423</v>
      </c>
      <c r="W7" s="4">
        <f t="shared" ca="1" si="0"/>
        <v>652</v>
      </c>
      <c r="X7" s="4">
        <f t="shared" ca="1" si="0"/>
        <v>894</v>
      </c>
      <c r="Y7" s="4">
        <f t="shared" ca="1" si="0"/>
        <v>876</v>
      </c>
      <c r="Z7" s="4">
        <f t="shared" ca="1" si="0"/>
        <v>832</v>
      </c>
      <c r="AA7" s="4">
        <f t="shared" ca="1" si="0"/>
        <v>284</v>
      </c>
      <c r="AB7" s="4">
        <f t="shared" ca="1" si="0"/>
        <v>844</v>
      </c>
      <c r="AC7" s="4">
        <f t="shared" ca="1" si="0"/>
        <v>70</v>
      </c>
      <c r="AD7" s="4">
        <f t="shared" ca="1" si="0"/>
        <v>145</v>
      </c>
      <c r="AE7" s="4">
        <f t="shared" ca="1" si="0"/>
        <v>316</v>
      </c>
    </row>
    <row r="8" spans="1:31" x14ac:dyDescent="0.3">
      <c r="A8" s="4" t="s">
        <v>10</v>
      </c>
      <c r="B8" s="4">
        <f t="shared" ca="1" si="1"/>
        <v>997</v>
      </c>
      <c r="C8" s="4">
        <f t="shared" ca="1" si="0"/>
        <v>39</v>
      </c>
      <c r="D8" s="4">
        <f t="shared" ca="1" si="0"/>
        <v>596</v>
      </c>
      <c r="E8" s="4">
        <f t="shared" ca="1" si="0"/>
        <v>160</v>
      </c>
      <c r="F8" s="4">
        <f t="shared" ca="1" si="0"/>
        <v>576</v>
      </c>
      <c r="G8" s="4">
        <f t="shared" ca="1" si="0"/>
        <v>501</v>
      </c>
      <c r="H8" s="4">
        <f t="shared" ca="1" si="0"/>
        <v>13</v>
      </c>
      <c r="I8" s="4">
        <f t="shared" ca="1" si="0"/>
        <v>154</v>
      </c>
      <c r="J8" s="4">
        <f t="shared" ca="1" si="0"/>
        <v>498</v>
      </c>
      <c r="K8" s="4">
        <f t="shared" ca="1" si="0"/>
        <v>462</v>
      </c>
      <c r="L8" s="4">
        <f t="shared" ca="1" si="0"/>
        <v>37</v>
      </c>
      <c r="M8" s="4">
        <f t="shared" ca="1" si="0"/>
        <v>887</v>
      </c>
      <c r="N8" s="4">
        <f t="shared" ca="1" si="0"/>
        <v>660</v>
      </c>
      <c r="O8" s="4">
        <f t="shared" ca="1" si="0"/>
        <v>50</v>
      </c>
      <c r="P8" s="4">
        <f t="shared" ca="1" si="0"/>
        <v>676</v>
      </c>
      <c r="Q8" s="4">
        <f t="shared" ca="1" si="0"/>
        <v>986</v>
      </c>
      <c r="R8" s="4">
        <f t="shared" ca="1" si="0"/>
        <v>394</v>
      </c>
      <c r="S8" s="4">
        <f t="shared" ca="1" si="0"/>
        <v>505</v>
      </c>
      <c r="T8" s="4">
        <f t="shared" ca="1" si="0"/>
        <v>360</v>
      </c>
      <c r="U8" s="4">
        <f t="shared" ca="1" si="0"/>
        <v>941</v>
      </c>
      <c r="V8" s="4">
        <f t="shared" ca="1" si="0"/>
        <v>571</v>
      </c>
      <c r="W8" s="4">
        <f t="shared" ca="1" si="0"/>
        <v>515</v>
      </c>
      <c r="X8" s="4">
        <f t="shared" ca="1" si="0"/>
        <v>518</v>
      </c>
      <c r="Y8" s="4">
        <f t="shared" ca="1" si="0"/>
        <v>362</v>
      </c>
      <c r="Z8" s="4">
        <f t="shared" ca="1" si="0"/>
        <v>183</v>
      </c>
      <c r="AA8" s="4">
        <f t="shared" ca="1" si="0"/>
        <v>30</v>
      </c>
      <c r="AB8" s="4">
        <f t="shared" ca="1" si="0"/>
        <v>757</v>
      </c>
      <c r="AC8" s="4">
        <f t="shared" ca="1" si="0"/>
        <v>891</v>
      </c>
      <c r="AD8" s="4">
        <f t="shared" ca="1" si="0"/>
        <v>650</v>
      </c>
      <c r="AE8" s="4">
        <f t="shared" ca="1" si="0"/>
        <v>401</v>
      </c>
    </row>
    <row r="9" spans="1:31" x14ac:dyDescent="0.3">
      <c r="A9" s="4" t="s">
        <v>11</v>
      </c>
      <c r="B9" s="4">
        <f t="shared" ca="1" si="1"/>
        <v>922</v>
      </c>
      <c r="C9" s="4">
        <f t="shared" ca="1" si="0"/>
        <v>850</v>
      </c>
      <c r="D9" s="4">
        <f t="shared" ca="1" si="0"/>
        <v>482</v>
      </c>
      <c r="E9" s="4">
        <f t="shared" ca="1" si="0"/>
        <v>491</v>
      </c>
      <c r="F9" s="4">
        <f t="shared" ca="1" si="0"/>
        <v>100</v>
      </c>
      <c r="G9" s="4">
        <f t="shared" ca="1" si="0"/>
        <v>615</v>
      </c>
      <c r="H9" s="4">
        <f t="shared" ca="1" si="0"/>
        <v>540</v>
      </c>
      <c r="I9" s="4">
        <f t="shared" ca="1" si="0"/>
        <v>939</v>
      </c>
      <c r="J9" s="4">
        <f t="shared" ca="1" si="0"/>
        <v>827</v>
      </c>
      <c r="K9" s="4">
        <f t="shared" ca="1" si="0"/>
        <v>942</v>
      </c>
      <c r="L9" s="4">
        <f t="shared" ca="1" si="0"/>
        <v>404</v>
      </c>
      <c r="M9" s="4">
        <f t="shared" ca="1" si="0"/>
        <v>318</v>
      </c>
      <c r="N9" s="4">
        <f t="shared" ca="1" si="0"/>
        <v>191</v>
      </c>
      <c r="O9" s="4">
        <f t="shared" ca="1" si="0"/>
        <v>439</v>
      </c>
      <c r="P9" s="4">
        <f t="shared" ca="1" si="0"/>
        <v>262</v>
      </c>
      <c r="Q9" s="4">
        <f t="shared" ca="1" si="0"/>
        <v>103</v>
      </c>
      <c r="R9" s="4">
        <f t="shared" ca="1" si="0"/>
        <v>216</v>
      </c>
      <c r="S9" s="4">
        <f t="shared" ca="1" si="0"/>
        <v>996</v>
      </c>
      <c r="T9" s="4">
        <f t="shared" ca="1" si="0"/>
        <v>333</v>
      </c>
      <c r="U9" s="4">
        <f t="shared" ca="1" si="0"/>
        <v>602</v>
      </c>
      <c r="V9" s="4">
        <f t="shared" ca="1" si="0"/>
        <v>441</v>
      </c>
      <c r="W9" s="4">
        <f t="shared" ca="1" si="0"/>
        <v>653</v>
      </c>
      <c r="X9" s="4">
        <f t="shared" ca="1" si="0"/>
        <v>68</v>
      </c>
      <c r="Y9" s="4">
        <f t="shared" ca="1" si="0"/>
        <v>559</v>
      </c>
      <c r="Z9" s="4">
        <f t="shared" ca="1" si="0"/>
        <v>674</v>
      </c>
      <c r="AA9" s="4">
        <f t="shared" ca="1" si="0"/>
        <v>297</v>
      </c>
      <c r="AB9" s="4">
        <f t="shared" ca="1" si="0"/>
        <v>241</v>
      </c>
      <c r="AC9" s="4">
        <f t="shared" ca="1" si="0"/>
        <v>549</v>
      </c>
      <c r="AD9" s="4">
        <f t="shared" ca="1" si="0"/>
        <v>269</v>
      </c>
      <c r="AE9" s="4">
        <f t="shared" ca="1" si="0"/>
        <v>843</v>
      </c>
    </row>
    <row r="10" spans="1:31" x14ac:dyDescent="0.3">
      <c r="A10" s="4" t="s">
        <v>12</v>
      </c>
      <c r="B10" s="4">
        <f t="shared" ca="1" si="1"/>
        <v>611</v>
      </c>
      <c r="C10" s="4">
        <f t="shared" ca="1" si="0"/>
        <v>688</v>
      </c>
      <c r="D10" s="4">
        <f t="shared" ca="1" si="0"/>
        <v>786</v>
      </c>
      <c r="E10" s="4">
        <f t="shared" ca="1" si="0"/>
        <v>498</v>
      </c>
      <c r="F10" s="4">
        <f t="shared" ca="1" si="0"/>
        <v>111</v>
      </c>
      <c r="G10" s="4">
        <f t="shared" ca="1" si="0"/>
        <v>628</v>
      </c>
      <c r="H10" s="4">
        <f t="shared" ca="1" si="0"/>
        <v>19</v>
      </c>
      <c r="I10" s="4">
        <f t="shared" ca="1" si="0"/>
        <v>528</v>
      </c>
      <c r="J10" s="4">
        <f t="shared" ca="1" si="0"/>
        <v>185</v>
      </c>
      <c r="K10" s="4">
        <f t="shared" ca="1" si="0"/>
        <v>59</v>
      </c>
      <c r="L10" s="4">
        <f t="shared" ca="1" si="0"/>
        <v>256</v>
      </c>
      <c r="M10" s="4">
        <f t="shared" ca="1" si="0"/>
        <v>314</v>
      </c>
      <c r="N10" s="4">
        <f t="shared" ca="1" si="0"/>
        <v>128</v>
      </c>
      <c r="O10" s="4">
        <f t="shared" ca="1" si="0"/>
        <v>823</v>
      </c>
      <c r="P10" s="4">
        <f t="shared" ca="1" si="0"/>
        <v>229</v>
      </c>
      <c r="Q10" s="4">
        <f t="shared" ca="1" si="0"/>
        <v>92</v>
      </c>
      <c r="R10" s="4">
        <f t="shared" ca="1" si="0"/>
        <v>62</v>
      </c>
      <c r="S10" s="4">
        <f t="shared" ca="1" si="0"/>
        <v>189</v>
      </c>
      <c r="T10" s="4">
        <f t="shared" ca="1" si="0"/>
        <v>883</v>
      </c>
      <c r="U10" s="4">
        <f t="shared" ca="1" si="0"/>
        <v>129</v>
      </c>
      <c r="V10" s="4">
        <f t="shared" ca="1" si="0"/>
        <v>424</v>
      </c>
      <c r="W10" s="4">
        <f t="shared" ca="1" si="0"/>
        <v>834</v>
      </c>
      <c r="X10" s="4">
        <f t="shared" ca="1" si="0"/>
        <v>608</v>
      </c>
      <c r="Y10" s="4">
        <f t="shared" ca="1" si="0"/>
        <v>912</v>
      </c>
      <c r="Z10" s="4">
        <f t="shared" ca="1" si="0"/>
        <v>358</v>
      </c>
      <c r="AA10" s="4">
        <f t="shared" ca="1" si="0"/>
        <v>395</v>
      </c>
      <c r="AB10" s="4">
        <f t="shared" ca="1" si="0"/>
        <v>871</v>
      </c>
      <c r="AC10" s="4">
        <f t="shared" ca="1" si="0"/>
        <v>610</v>
      </c>
      <c r="AD10" s="4">
        <f t="shared" ca="1" si="0"/>
        <v>211</v>
      </c>
      <c r="AE10" s="4">
        <f t="shared" ca="1" si="0"/>
        <v>946</v>
      </c>
    </row>
    <row r="11" spans="1:31" x14ac:dyDescent="0.3">
      <c r="A11" s="4" t="s">
        <v>13</v>
      </c>
      <c r="B11" s="4">
        <f t="shared" ca="1" si="1"/>
        <v>164</v>
      </c>
      <c r="C11" s="4">
        <f t="shared" ca="1" si="0"/>
        <v>28</v>
      </c>
      <c r="D11" s="4">
        <f t="shared" ca="1" si="0"/>
        <v>818</v>
      </c>
      <c r="E11" s="4">
        <f t="shared" ca="1" si="0"/>
        <v>793</v>
      </c>
      <c r="F11" s="4">
        <f t="shared" ca="1" si="0"/>
        <v>903</v>
      </c>
      <c r="G11" s="4">
        <f t="shared" ca="1" si="0"/>
        <v>229</v>
      </c>
      <c r="H11" s="4">
        <f t="shared" ca="1" si="0"/>
        <v>562</v>
      </c>
      <c r="I11" s="4">
        <f t="shared" ca="1" si="0"/>
        <v>564</v>
      </c>
      <c r="J11" s="4">
        <f t="shared" ca="1" si="0"/>
        <v>210</v>
      </c>
      <c r="K11" s="4">
        <f t="shared" ca="1" si="0"/>
        <v>12</v>
      </c>
      <c r="L11" s="4">
        <f t="shared" ca="1" si="0"/>
        <v>778</v>
      </c>
      <c r="M11" s="4">
        <f t="shared" ca="1" si="0"/>
        <v>576</v>
      </c>
      <c r="N11" s="4">
        <f t="shared" ca="1" si="0"/>
        <v>909</v>
      </c>
      <c r="O11" s="4">
        <f t="shared" ca="1" si="0"/>
        <v>263</v>
      </c>
      <c r="P11" s="4">
        <f t="shared" ca="1" si="0"/>
        <v>969</v>
      </c>
      <c r="Q11" s="4">
        <f t="shared" ca="1" si="0"/>
        <v>552</v>
      </c>
      <c r="R11" s="4">
        <f t="shared" ca="1" si="0"/>
        <v>154</v>
      </c>
      <c r="S11" s="4">
        <f t="shared" ca="1" si="0"/>
        <v>107</v>
      </c>
      <c r="T11" s="4">
        <f t="shared" ca="1" si="0"/>
        <v>781</v>
      </c>
      <c r="U11" s="4">
        <f t="shared" ca="1" si="0"/>
        <v>409</v>
      </c>
      <c r="V11" s="4">
        <f t="shared" ca="1" si="0"/>
        <v>588</v>
      </c>
      <c r="W11" s="4">
        <f t="shared" ca="1" si="0"/>
        <v>704</v>
      </c>
      <c r="X11" s="4">
        <f t="shared" ca="1" si="0"/>
        <v>891</v>
      </c>
      <c r="Y11" s="4">
        <f t="shared" ca="1" si="0"/>
        <v>459</v>
      </c>
      <c r="Z11" s="4">
        <f t="shared" ca="1" si="0"/>
        <v>328</v>
      </c>
      <c r="AA11" s="4">
        <f t="shared" ca="1" si="0"/>
        <v>646</v>
      </c>
      <c r="AB11" s="4">
        <f t="shared" ca="1" si="0"/>
        <v>724</v>
      </c>
      <c r="AC11" s="4">
        <f t="shared" ca="1" si="0"/>
        <v>603</v>
      </c>
      <c r="AD11" s="4">
        <f t="shared" ca="1" si="0"/>
        <v>961</v>
      </c>
      <c r="AE11" s="4">
        <f t="shared" ca="1" si="0"/>
        <v>431</v>
      </c>
    </row>
    <row r="12" spans="1:31" x14ac:dyDescent="0.3">
      <c r="A12" s="4" t="s">
        <v>14</v>
      </c>
      <c r="B12" s="4">
        <f t="shared" ca="1" si="1"/>
        <v>652</v>
      </c>
      <c r="C12" s="4">
        <f t="shared" ca="1" si="0"/>
        <v>642</v>
      </c>
      <c r="D12" s="4">
        <f t="shared" ca="1" si="0"/>
        <v>781</v>
      </c>
      <c r="E12" s="4">
        <f t="shared" ca="1" si="0"/>
        <v>929</v>
      </c>
      <c r="F12" s="4">
        <f t="shared" ca="1" si="0"/>
        <v>465</v>
      </c>
      <c r="G12" s="4">
        <f t="shared" ca="1" si="0"/>
        <v>400</v>
      </c>
      <c r="H12" s="4">
        <f t="shared" ca="1" si="0"/>
        <v>151</v>
      </c>
      <c r="I12" s="4">
        <f t="shared" ca="1" si="0"/>
        <v>777</v>
      </c>
      <c r="J12" s="4">
        <f t="shared" ca="1" si="0"/>
        <v>997</v>
      </c>
      <c r="K12" s="4">
        <f t="shared" ca="1" si="0"/>
        <v>582</v>
      </c>
      <c r="L12" s="4">
        <f t="shared" ref="L12:AE12" ca="1" si="2">RANDBETWEEN(1,1000)</f>
        <v>721</v>
      </c>
      <c r="M12" s="4">
        <f t="shared" ca="1" si="2"/>
        <v>747</v>
      </c>
      <c r="N12" s="4">
        <f t="shared" ca="1" si="2"/>
        <v>48</v>
      </c>
      <c r="O12" s="4">
        <f t="shared" ca="1" si="2"/>
        <v>247</v>
      </c>
      <c r="P12" s="4">
        <f t="shared" ca="1" si="2"/>
        <v>222</v>
      </c>
      <c r="Q12" s="4">
        <f t="shared" ca="1" si="2"/>
        <v>761</v>
      </c>
      <c r="R12" s="4">
        <f t="shared" ca="1" si="2"/>
        <v>613</v>
      </c>
      <c r="S12" s="4">
        <f t="shared" ca="1" si="2"/>
        <v>683</v>
      </c>
      <c r="T12" s="4">
        <f t="shared" ca="1" si="2"/>
        <v>184</v>
      </c>
      <c r="U12" s="4">
        <f t="shared" ca="1" si="2"/>
        <v>364</v>
      </c>
      <c r="V12" s="4">
        <f t="shared" ca="1" si="2"/>
        <v>949</v>
      </c>
      <c r="W12" s="4">
        <f t="shared" ca="1" si="2"/>
        <v>211</v>
      </c>
      <c r="X12" s="4">
        <f t="shared" ca="1" si="2"/>
        <v>270</v>
      </c>
      <c r="Y12" s="4">
        <f t="shared" ca="1" si="2"/>
        <v>679</v>
      </c>
      <c r="Z12" s="4">
        <f t="shared" ca="1" si="2"/>
        <v>828</v>
      </c>
      <c r="AA12" s="4">
        <f t="shared" ca="1" si="2"/>
        <v>740</v>
      </c>
      <c r="AB12" s="4">
        <f t="shared" ca="1" si="2"/>
        <v>420</v>
      </c>
      <c r="AC12" s="4">
        <f t="shared" ca="1" si="2"/>
        <v>314</v>
      </c>
      <c r="AD12" s="4">
        <f t="shared" ca="1" si="2"/>
        <v>110</v>
      </c>
      <c r="AE12" s="4">
        <f t="shared" ca="1" si="2"/>
        <v>199</v>
      </c>
    </row>
    <row r="13" spans="1:31" x14ac:dyDescent="0.3">
      <c r="A13" s="2"/>
    </row>
    <row r="14" spans="1:31" x14ac:dyDescent="0.3">
      <c r="A14" s="3" t="s">
        <v>2</v>
      </c>
    </row>
    <row r="15" spans="1:31" x14ac:dyDescent="0.3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3">
      <c r="A16" s="4" t="s">
        <v>15</v>
      </c>
      <c r="B16" s="4">
        <f t="shared" ref="B16:Q25" ca="1" si="3">RANDBETWEEN(1,1000)</f>
        <v>651</v>
      </c>
      <c r="C16" s="4">
        <f t="shared" ca="1" si="3"/>
        <v>421</v>
      </c>
      <c r="D16" s="4">
        <f t="shared" ca="1" si="3"/>
        <v>515</v>
      </c>
      <c r="E16" s="4">
        <f t="shared" ca="1" si="3"/>
        <v>16</v>
      </c>
      <c r="F16" s="4">
        <f t="shared" ca="1" si="3"/>
        <v>551</v>
      </c>
      <c r="G16" s="4">
        <f t="shared" ca="1" si="3"/>
        <v>676</v>
      </c>
      <c r="H16" s="4">
        <f t="shared" ca="1" si="3"/>
        <v>374</v>
      </c>
      <c r="I16" s="4">
        <f t="shared" ca="1" si="3"/>
        <v>944</v>
      </c>
      <c r="J16" s="4">
        <f t="shared" ca="1" si="3"/>
        <v>1000</v>
      </c>
      <c r="K16" s="4">
        <f t="shared" ca="1" si="3"/>
        <v>528</v>
      </c>
      <c r="L16" s="4">
        <f t="shared" ca="1" si="3"/>
        <v>604</v>
      </c>
      <c r="M16" s="4">
        <f t="shared" ca="1" si="3"/>
        <v>302</v>
      </c>
      <c r="N16" s="4">
        <f t="shared" ca="1" si="3"/>
        <v>950</v>
      </c>
      <c r="O16" s="4">
        <f t="shared" ca="1" si="3"/>
        <v>959</v>
      </c>
      <c r="P16" s="4">
        <f t="shared" ca="1" si="3"/>
        <v>342</v>
      </c>
      <c r="Q16" s="4">
        <f t="shared" ca="1" si="3"/>
        <v>474</v>
      </c>
      <c r="R16" s="4">
        <f t="shared" ref="C16:AE25" ca="1" si="4">RANDBETWEEN(1,1000)</f>
        <v>389</v>
      </c>
      <c r="S16" s="4">
        <f t="shared" ca="1" si="4"/>
        <v>734</v>
      </c>
      <c r="T16" s="4">
        <f t="shared" ca="1" si="4"/>
        <v>297</v>
      </c>
      <c r="U16" s="4">
        <f t="shared" ca="1" si="4"/>
        <v>174</v>
      </c>
      <c r="V16" s="4">
        <f t="shared" ca="1" si="4"/>
        <v>684</v>
      </c>
      <c r="W16" s="4">
        <f t="shared" ca="1" si="4"/>
        <v>564</v>
      </c>
      <c r="X16" s="4">
        <f t="shared" ca="1" si="4"/>
        <v>903</v>
      </c>
      <c r="Y16" s="4">
        <f t="shared" ca="1" si="4"/>
        <v>902</v>
      </c>
      <c r="Z16" s="4">
        <f t="shared" ca="1" si="4"/>
        <v>473</v>
      </c>
      <c r="AA16" s="4">
        <f t="shared" ca="1" si="4"/>
        <v>126</v>
      </c>
      <c r="AB16" s="4">
        <f t="shared" ca="1" si="4"/>
        <v>374</v>
      </c>
      <c r="AC16" s="4">
        <f t="shared" ca="1" si="4"/>
        <v>561</v>
      </c>
      <c r="AD16" s="4">
        <f t="shared" ca="1" si="4"/>
        <v>44</v>
      </c>
      <c r="AE16" s="4">
        <f t="shared" ca="1" si="4"/>
        <v>9</v>
      </c>
    </row>
    <row r="17" spans="1:31" x14ac:dyDescent="0.3">
      <c r="A17" s="4" t="s">
        <v>16</v>
      </c>
      <c r="B17" s="4">
        <f t="shared" ca="1" si="3"/>
        <v>376</v>
      </c>
      <c r="C17" s="4">
        <f t="shared" ca="1" si="4"/>
        <v>386</v>
      </c>
      <c r="D17" s="4">
        <f t="shared" ca="1" si="4"/>
        <v>385</v>
      </c>
      <c r="E17" s="4">
        <f t="shared" ca="1" si="4"/>
        <v>326</v>
      </c>
      <c r="F17" s="4">
        <f t="shared" ca="1" si="4"/>
        <v>392</v>
      </c>
      <c r="G17" s="4">
        <f t="shared" ca="1" si="4"/>
        <v>731</v>
      </c>
      <c r="H17" s="4">
        <f t="shared" ca="1" si="4"/>
        <v>699</v>
      </c>
      <c r="I17" s="4">
        <f t="shared" ca="1" si="4"/>
        <v>561</v>
      </c>
      <c r="J17" s="4">
        <f t="shared" ca="1" si="4"/>
        <v>496</v>
      </c>
      <c r="K17" s="4">
        <f t="shared" ca="1" si="4"/>
        <v>524</v>
      </c>
      <c r="L17" s="4">
        <f t="shared" ca="1" si="4"/>
        <v>867</v>
      </c>
      <c r="M17" s="4">
        <f t="shared" ca="1" si="4"/>
        <v>657</v>
      </c>
      <c r="N17" s="4">
        <f t="shared" ca="1" si="4"/>
        <v>722</v>
      </c>
      <c r="O17" s="4">
        <f t="shared" ca="1" si="4"/>
        <v>677</v>
      </c>
      <c r="P17" s="4">
        <f t="shared" ca="1" si="4"/>
        <v>887</v>
      </c>
      <c r="Q17" s="4">
        <f t="shared" ca="1" si="4"/>
        <v>743</v>
      </c>
      <c r="R17" s="4">
        <f t="shared" ca="1" si="4"/>
        <v>422</v>
      </c>
      <c r="S17" s="4">
        <f t="shared" ca="1" si="4"/>
        <v>104</v>
      </c>
      <c r="T17" s="4">
        <f t="shared" ca="1" si="4"/>
        <v>475</v>
      </c>
      <c r="U17" s="4">
        <f t="shared" ca="1" si="4"/>
        <v>103</v>
      </c>
      <c r="V17" s="4">
        <f t="shared" ca="1" si="4"/>
        <v>31</v>
      </c>
      <c r="W17" s="4">
        <f t="shared" ca="1" si="4"/>
        <v>786</v>
      </c>
      <c r="X17" s="4">
        <f t="shared" ca="1" si="4"/>
        <v>802</v>
      </c>
      <c r="Y17" s="4">
        <f t="shared" ca="1" si="4"/>
        <v>668</v>
      </c>
      <c r="Z17" s="4">
        <f t="shared" ca="1" si="4"/>
        <v>18</v>
      </c>
      <c r="AA17" s="4">
        <f t="shared" ca="1" si="4"/>
        <v>401</v>
      </c>
      <c r="AB17" s="4">
        <f t="shared" ca="1" si="4"/>
        <v>689</v>
      </c>
      <c r="AC17" s="4">
        <f t="shared" ca="1" si="4"/>
        <v>237</v>
      </c>
      <c r="AD17" s="4">
        <f t="shared" ca="1" si="4"/>
        <v>957</v>
      </c>
      <c r="AE17" s="4">
        <f t="shared" ca="1" si="4"/>
        <v>685</v>
      </c>
    </row>
    <row r="18" spans="1:31" x14ac:dyDescent="0.3">
      <c r="A18" s="4" t="s">
        <v>17</v>
      </c>
      <c r="B18" s="4">
        <f t="shared" ca="1" si="3"/>
        <v>865</v>
      </c>
      <c r="C18" s="4">
        <f t="shared" ca="1" si="4"/>
        <v>881</v>
      </c>
      <c r="D18" s="4">
        <f t="shared" ca="1" si="4"/>
        <v>781</v>
      </c>
      <c r="E18" s="4">
        <f t="shared" ca="1" si="4"/>
        <v>915</v>
      </c>
      <c r="F18" s="4">
        <f t="shared" ca="1" si="4"/>
        <v>924</v>
      </c>
      <c r="G18" s="4">
        <f t="shared" ca="1" si="4"/>
        <v>412</v>
      </c>
      <c r="H18" s="4">
        <f t="shared" ca="1" si="4"/>
        <v>817</v>
      </c>
      <c r="I18" s="4">
        <f t="shared" ca="1" si="4"/>
        <v>425</v>
      </c>
      <c r="J18" s="4">
        <f t="shared" ca="1" si="4"/>
        <v>759</v>
      </c>
      <c r="K18" s="4">
        <f t="shared" ca="1" si="4"/>
        <v>602</v>
      </c>
      <c r="L18" s="4">
        <f t="shared" ca="1" si="4"/>
        <v>340</v>
      </c>
      <c r="M18" s="4">
        <f t="shared" ca="1" si="4"/>
        <v>30</v>
      </c>
      <c r="N18" s="4">
        <f t="shared" ca="1" si="4"/>
        <v>674</v>
      </c>
      <c r="O18" s="4">
        <f t="shared" ca="1" si="4"/>
        <v>191</v>
      </c>
      <c r="P18" s="4">
        <f t="shared" ca="1" si="4"/>
        <v>219</v>
      </c>
      <c r="Q18" s="4">
        <f t="shared" ca="1" si="4"/>
        <v>608</v>
      </c>
      <c r="R18" s="4">
        <f t="shared" ca="1" si="4"/>
        <v>823</v>
      </c>
      <c r="S18" s="4">
        <f t="shared" ca="1" si="4"/>
        <v>248</v>
      </c>
      <c r="T18" s="4">
        <f t="shared" ca="1" si="4"/>
        <v>980</v>
      </c>
      <c r="U18" s="4">
        <f t="shared" ca="1" si="4"/>
        <v>756</v>
      </c>
      <c r="V18" s="4">
        <f t="shared" ca="1" si="4"/>
        <v>967</v>
      </c>
      <c r="W18" s="4">
        <f t="shared" ca="1" si="4"/>
        <v>853</v>
      </c>
      <c r="X18" s="4">
        <f t="shared" ca="1" si="4"/>
        <v>177</v>
      </c>
      <c r="Y18" s="4">
        <f t="shared" ca="1" si="4"/>
        <v>987</v>
      </c>
      <c r="Z18" s="4">
        <f t="shared" ca="1" si="4"/>
        <v>654</v>
      </c>
      <c r="AA18" s="4">
        <f t="shared" ca="1" si="4"/>
        <v>668</v>
      </c>
      <c r="AB18" s="4">
        <f t="shared" ca="1" si="4"/>
        <v>76</v>
      </c>
      <c r="AC18" s="4">
        <f t="shared" ca="1" si="4"/>
        <v>911</v>
      </c>
      <c r="AD18" s="4">
        <f t="shared" ca="1" si="4"/>
        <v>375</v>
      </c>
      <c r="AE18" s="4">
        <f t="shared" ca="1" si="4"/>
        <v>248</v>
      </c>
    </row>
    <row r="19" spans="1:31" x14ac:dyDescent="0.3">
      <c r="A19" s="4" t="s">
        <v>18</v>
      </c>
      <c r="B19" s="4">
        <f t="shared" ca="1" si="3"/>
        <v>439</v>
      </c>
      <c r="C19" s="4">
        <f t="shared" ca="1" si="4"/>
        <v>88</v>
      </c>
      <c r="D19" s="4">
        <f t="shared" ca="1" si="4"/>
        <v>611</v>
      </c>
      <c r="E19" s="4">
        <f t="shared" ca="1" si="4"/>
        <v>302</v>
      </c>
      <c r="F19" s="4">
        <f t="shared" ca="1" si="4"/>
        <v>764</v>
      </c>
      <c r="G19" s="4">
        <f t="shared" ca="1" si="4"/>
        <v>653</v>
      </c>
      <c r="H19" s="4">
        <f t="shared" ca="1" si="4"/>
        <v>861</v>
      </c>
      <c r="I19" s="4">
        <f t="shared" ca="1" si="4"/>
        <v>254</v>
      </c>
      <c r="J19" s="4">
        <f t="shared" ca="1" si="4"/>
        <v>386</v>
      </c>
      <c r="K19" s="4">
        <f t="shared" ca="1" si="4"/>
        <v>244</v>
      </c>
      <c r="L19" s="4">
        <f t="shared" ca="1" si="4"/>
        <v>867</v>
      </c>
      <c r="M19" s="4">
        <f t="shared" ca="1" si="4"/>
        <v>563</v>
      </c>
      <c r="N19" s="4">
        <f t="shared" ca="1" si="4"/>
        <v>31</v>
      </c>
      <c r="O19" s="4">
        <f t="shared" ca="1" si="4"/>
        <v>590</v>
      </c>
      <c r="P19" s="4">
        <f t="shared" ca="1" si="4"/>
        <v>224</v>
      </c>
      <c r="Q19" s="4">
        <f t="shared" ca="1" si="4"/>
        <v>311</v>
      </c>
      <c r="R19" s="4">
        <f t="shared" ca="1" si="4"/>
        <v>303</v>
      </c>
      <c r="S19" s="4">
        <f t="shared" ca="1" si="4"/>
        <v>211</v>
      </c>
      <c r="T19" s="4">
        <f t="shared" ca="1" si="4"/>
        <v>191</v>
      </c>
      <c r="U19" s="4">
        <f t="shared" ca="1" si="4"/>
        <v>308</v>
      </c>
      <c r="V19" s="4">
        <f t="shared" ca="1" si="4"/>
        <v>758</v>
      </c>
      <c r="W19" s="4">
        <f t="shared" ca="1" si="4"/>
        <v>639</v>
      </c>
      <c r="X19" s="4">
        <f t="shared" ca="1" si="4"/>
        <v>382</v>
      </c>
      <c r="Y19" s="4">
        <f t="shared" ca="1" si="4"/>
        <v>523</v>
      </c>
      <c r="Z19" s="4">
        <f t="shared" ca="1" si="4"/>
        <v>200</v>
      </c>
      <c r="AA19" s="4">
        <f t="shared" ca="1" si="4"/>
        <v>91</v>
      </c>
      <c r="AB19" s="4">
        <f t="shared" ca="1" si="4"/>
        <v>732</v>
      </c>
      <c r="AC19" s="4">
        <f t="shared" ca="1" si="4"/>
        <v>645</v>
      </c>
      <c r="AD19" s="4">
        <f t="shared" ca="1" si="4"/>
        <v>979</v>
      </c>
      <c r="AE19" s="4">
        <f t="shared" ca="1" si="4"/>
        <v>781</v>
      </c>
    </row>
    <row r="20" spans="1:31" x14ac:dyDescent="0.3">
      <c r="A20" s="4" t="s">
        <v>19</v>
      </c>
      <c r="B20" s="4">
        <f t="shared" ca="1" si="3"/>
        <v>640</v>
      </c>
      <c r="C20" s="4">
        <f t="shared" ca="1" si="4"/>
        <v>385</v>
      </c>
      <c r="D20" s="4">
        <f t="shared" ca="1" si="4"/>
        <v>275</v>
      </c>
      <c r="E20" s="4">
        <f t="shared" ca="1" si="4"/>
        <v>36</v>
      </c>
      <c r="F20" s="4">
        <f t="shared" ca="1" si="4"/>
        <v>130</v>
      </c>
      <c r="G20" s="4">
        <f t="shared" ca="1" si="4"/>
        <v>320</v>
      </c>
      <c r="H20" s="4">
        <f t="shared" ca="1" si="4"/>
        <v>643</v>
      </c>
      <c r="I20" s="4">
        <f t="shared" ca="1" si="4"/>
        <v>13</v>
      </c>
      <c r="J20" s="4">
        <f t="shared" ca="1" si="4"/>
        <v>249</v>
      </c>
      <c r="K20" s="4">
        <f t="shared" ca="1" si="4"/>
        <v>220</v>
      </c>
      <c r="L20" s="4">
        <f t="shared" ca="1" si="4"/>
        <v>981</v>
      </c>
      <c r="M20" s="4">
        <f t="shared" ca="1" si="4"/>
        <v>538</v>
      </c>
      <c r="N20" s="4">
        <f t="shared" ca="1" si="4"/>
        <v>253</v>
      </c>
      <c r="O20" s="4">
        <f t="shared" ca="1" si="4"/>
        <v>941</v>
      </c>
      <c r="P20" s="4">
        <f t="shared" ca="1" si="4"/>
        <v>848</v>
      </c>
      <c r="Q20" s="4">
        <f t="shared" ca="1" si="4"/>
        <v>518</v>
      </c>
      <c r="R20" s="4">
        <f t="shared" ca="1" si="4"/>
        <v>69</v>
      </c>
      <c r="S20" s="4">
        <f t="shared" ca="1" si="4"/>
        <v>263</v>
      </c>
      <c r="T20" s="4">
        <f t="shared" ca="1" si="4"/>
        <v>45</v>
      </c>
      <c r="U20" s="4">
        <f t="shared" ca="1" si="4"/>
        <v>97</v>
      </c>
      <c r="V20" s="4">
        <f t="shared" ca="1" si="4"/>
        <v>676</v>
      </c>
      <c r="W20" s="4">
        <f t="shared" ca="1" si="4"/>
        <v>540</v>
      </c>
      <c r="X20" s="4">
        <f t="shared" ca="1" si="4"/>
        <v>343</v>
      </c>
      <c r="Y20" s="4">
        <f t="shared" ca="1" si="4"/>
        <v>500</v>
      </c>
      <c r="Z20" s="4">
        <f t="shared" ca="1" si="4"/>
        <v>912</v>
      </c>
      <c r="AA20" s="4">
        <f t="shared" ca="1" si="4"/>
        <v>992</v>
      </c>
      <c r="AB20" s="4">
        <f t="shared" ca="1" si="4"/>
        <v>384</v>
      </c>
      <c r="AC20" s="4">
        <f t="shared" ca="1" si="4"/>
        <v>832</v>
      </c>
      <c r="AD20" s="4">
        <f t="shared" ca="1" si="4"/>
        <v>356</v>
      </c>
      <c r="AE20" s="4">
        <f t="shared" ca="1" si="4"/>
        <v>151</v>
      </c>
    </row>
    <row r="21" spans="1:31" x14ac:dyDescent="0.3">
      <c r="A21" s="1" t="s">
        <v>20</v>
      </c>
      <c r="B21" s="4">
        <f t="shared" ca="1" si="3"/>
        <v>19</v>
      </c>
      <c r="C21" s="4">
        <f t="shared" ca="1" si="4"/>
        <v>570</v>
      </c>
      <c r="D21" s="4">
        <f t="shared" ca="1" si="4"/>
        <v>930</v>
      </c>
      <c r="E21" s="4">
        <f t="shared" ca="1" si="4"/>
        <v>995</v>
      </c>
      <c r="F21" s="4">
        <f t="shared" ca="1" si="4"/>
        <v>525</v>
      </c>
      <c r="G21" s="4">
        <f t="shared" ca="1" si="4"/>
        <v>941</v>
      </c>
      <c r="H21" s="4">
        <f t="shared" ca="1" si="4"/>
        <v>223</v>
      </c>
      <c r="I21" s="4">
        <f t="shared" ca="1" si="4"/>
        <v>558</v>
      </c>
      <c r="J21" s="4">
        <f t="shared" ca="1" si="4"/>
        <v>947</v>
      </c>
      <c r="K21" s="4">
        <f t="shared" ca="1" si="4"/>
        <v>977</v>
      </c>
      <c r="L21" s="4">
        <f t="shared" ca="1" si="4"/>
        <v>966</v>
      </c>
      <c r="M21" s="4">
        <f t="shared" ca="1" si="4"/>
        <v>446</v>
      </c>
      <c r="N21" s="4">
        <f t="shared" ca="1" si="4"/>
        <v>968</v>
      </c>
      <c r="O21" s="4">
        <f t="shared" ca="1" si="4"/>
        <v>437</v>
      </c>
      <c r="P21" s="4">
        <f t="shared" ca="1" si="4"/>
        <v>158</v>
      </c>
      <c r="Q21" s="4">
        <f t="shared" ca="1" si="4"/>
        <v>763</v>
      </c>
      <c r="R21" s="4">
        <f t="shared" ca="1" si="4"/>
        <v>961</v>
      </c>
      <c r="S21" s="4">
        <f t="shared" ca="1" si="4"/>
        <v>117</v>
      </c>
      <c r="T21" s="4">
        <f t="shared" ca="1" si="4"/>
        <v>642</v>
      </c>
      <c r="U21" s="4">
        <f t="shared" ca="1" si="4"/>
        <v>661</v>
      </c>
      <c r="V21" s="4">
        <f t="shared" ca="1" si="4"/>
        <v>668</v>
      </c>
      <c r="W21" s="4">
        <f t="shared" ca="1" si="4"/>
        <v>149</v>
      </c>
      <c r="X21" s="4">
        <f t="shared" ca="1" si="4"/>
        <v>654</v>
      </c>
      <c r="Y21" s="4">
        <f t="shared" ca="1" si="4"/>
        <v>511</v>
      </c>
      <c r="Z21" s="4">
        <f t="shared" ca="1" si="4"/>
        <v>278</v>
      </c>
      <c r="AA21" s="4">
        <f t="shared" ca="1" si="4"/>
        <v>619</v>
      </c>
      <c r="AB21" s="4">
        <f t="shared" ca="1" si="4"/>
        <v>365</v>
      </c>
      <c r="AC21" s="4">
        <f t="shared" ca="1" si="4"/>
        <v>298</v>
      </c>
      <c r="AD21" s="4">
        <f t="shared" ca="1" si="4"/>
        <v>832</v>
      </c>
      <c r="AE21" s="4">
        <f t="shared" ca="1" si="4"/>
        <v>596</v>
      </c>
    </row>
    <row r="22" spans="1:31" x14ac:dyDescent="0.3">
      <c r="A22" s="1" t="s">
        <v>21</v>
      </c>
      <c r="B22" s="4">
        <f t="shared" ca="1" si="3"/>
        <v>791</v>
      </c>
      <c r="C22" s="4">
        <f t="shared" ca="1" si="4"/>
        <v>794</v>
      </c>
      <c r="D22" s="4">
        <f t="shared" ca="1" si="4"/>
        <v>266</v>
      </c>
      <c r="E22" s="4">
        <f t="shared" ca="1" si="4"/>
        <v>479</v>
      </c>
      <c r="F22" s="4">
        <f t="shared" ca="1" si="4"/>
        <v>448</v>
      </c>
      <c r="G22" s="4">
        <f t="shared" ca="1" si="4"/>
        <v>2</v>
      </c>
      <c r="H22" s="4">
        <f t="shared" ca="1" si="4"/>
        <v>130</v>
      </c>
      <c r="I22" s="4">
        <f t="shared" ca="1" si="4"/>
        <v>311</v>
      </c>
      <c r="J22" s="4">
        <f t="shared" ca="1" si="4"/>
        <v>111</v>
      </c>
      <c r="K22" s="4">
        <f t="shared" ca="1" si="4"/>
        <v>632</v>
      </c>
      <c r="L22" s="4">
        <f t="shared" ca="1" si="4"/>
        <v>933</v>
      </c>
      <c r="M22" s="4">
        <f t="shared" ca="1" si="4"/>
        <v>816</v>
      </c>
      <c r="N22" s="4">
        <f t="shared" ca="1" si="4"/>
        <v>688</v>
      </c>
      <c r="O22" s="4">
        <f t="shared" ca="1" si="4"/>
        <v>714</v>
      </c>
      <c r="P22" s="4">
        <f t="shared" ca="1" si="4"/>
        <v>281</v>
      </c>
      <c r="Q22" s="4">
        <f t="shared" ca="1" si="4"/>
        <v>805</v>
      </c>
      <c r="R22" s="4">
        <f t="shared" ca="1" si="4"/>
        <v>716</v>
      </c>
      <c r="S22" s="4">
        <f t="shared" ca="1" si="4"/>
        <v>761</v>
      </c>
      <c r="T22" s="4">
        <f t="shared" ca="1" si="4"/>
        <v>43</v>
      </c>
      <c r="U22" s="4">
        <f t="shared" ca="1" si="4"/>
        <v>421</v>
      </c>
      <c r="V22" s="4">
        <f t="shared" ca="1" si="4"/>
        <v>500</v>
      </c>
      <c r="W22" s="4">
        <f t="shared" ca="1" si="4"/>
        <v>448</v>
      </c>
      <c r="X22" s="4">
        <f t="shared" ca="1" si="4"/>
        <v>741</v>
      </c>
      <c r="Y22" s="4">
        <f t="shared" ca="1" si="4"/>
        <v>745</v>
      </c>
      <c r="Z22" s="4">
        <f t="shared" ca="1" si="4"/>
        <v>246</v>
      </c>
      <c r="AA22" s="4">
        <f t="shared" ca="1" si="4"/>
        <v>594</v>
      </c>
      <c r="AB22" s="4">
        <f t="shared" ca="1" si="4"/>
        <v>585</v>
      </c>
      <c r="AC22" s="4">
        <f t="shared" ca="1" si="4"/>
        <v>841</v>
      </c>
      <c r="AD22" s="4">
        <f t="shared" ca="1" si="4"/>
        <v>503</v>
      </c>
      <c r="AE22" s="4">
        <f t="shared" ca="1" si="4"/>
        <v>939</v>
      </c>
    </row>
    <row r="23" spans="1:31" x14ac:dyDescent="0.3">
      <c r="A23" s="1" t="s">
        <v>22</v>
      </c>
      <c r="B23" s="4">
        <f t="shared" ca="1" si="3"/>
        <v>63</v>
      </c>
      <c r="C23" s="4">
        <f t="shared" ca="1" si="4"/>
        <v>622</v>
      </c>
      <c r="D23" s="4">
        <f t="shared" ca="1" si="4"/>
        <v>25</v>
      </c>
      <c r="E23" s="4">
        <f t="shared" ca="1" si="4"/>
        <v>644</v>
      </c>
      <c r="F23" s="4">
        <f t="shared" ca="1" si="4"/>
        <v>425</v>
      </c>
      <c r="G23" s="4">
        <f t="shared" ca="1" si="4"/>
        <v>292</v>
      </c>
      <c r="H23" s="4">
        <f t="shared" ca="1" si="4"/>
        <v>106</v>
      </c>
      <c r="I23" s="4">
        <f t="shared" ca="1" si="4"/>
        <v>331</v>
      </c>
      <c r="J23" s="4">
        <f t="shared" ca="1" si="4"/>
        <v>33</v>
      </c>
      <c r="K23" s="4">
        <f t="shared" ca="1" si="4"/>
        <v>598</v>
      </c>
      <c r="L23" s="4">
        <f t="shared" ca="1" si="4"/>
        <v>390</v>
      </c>
      <c r="M23" s="4">
        <f t="shared" ca="1" si="4"/>
        <v>105</v>
      </c>
      <c r="N23" s="4">
        <f t="shared" ca="1" si="4"/>
        <v>583</v>
      </c>
      <c r="O23" s="4">
        <f t="shared" ca="1" si="4"/>
        <v>189</v>
      </c>
      <c r="P23" s="4">
        <f t="shared" ca="1" si="4"/>
        <v>264</v>
      </c>
      <c r="Q23" s="4">
        <f t="shared" ca="1" si="4"/>
        <v>900</v>
      </c>
      <c r="R23" s="4">
        <f t="shared" ca="1" si="4"/>
        <v>35</v>
      </c>
      <c r="S23" s="4">
        <f t="shared" ca="1" si="4"/>
        <v>555</v>
      </c>
      <c r="T23" s="4">
        <f t="shared" ca="1" si="4"/>
        <v>764</v>
      </c>
      <c r="U23" s="4">
        <f t="shared" ca="1" si="4"/>
        <v>297</v>
      </c>
      <c r="V23" s="4">
        <f t="shared" ca="1" si="4"/>
        <v>392</v>
      </c>
      <c r="W23" s="4">
        <f t="shared" ca="1" si="4"/>
        <v>517</v>
      </c>
      <c r="X23" s="4">
        <f t="shared" ca="1" si="4"/>
        <v>99</v>
      </c>
      <c r="Y23" s="4">
        <f t="shared" ca="1" si="4"/>
        <v>916</v>
      </c>
      <c r="Z23" s="4">
        <f t="shared" ca="1" si="4"/>
        <v>673</v>
      </c>
      <c r="AA23" s="4">
        <f t="shared" ca="1" si="4"/>
        <v>969</v>
      </c>
      <c r="AB23" s="4">
        <f t="shared" ca="1" si="4"/>
        <v>396</v>
      </c>
      <c r="AC23" s="4">
        <f t="shared" ca="1" si="4"/>
        <v>757</v>
      </c>
      <c r="AD23" s="4">
        <f t="shared" ca="1" si="4"/>
        <v>353</v>
      </c>
      <c r="AE23" s="4">
        <f t="shared" ca="1" si="4"/>
        <v>175</v>
      </c>
    </row>
    <row r="24" spans="1:31" x14ac:dyDescent="0.3">
      <c r="A24" s="1" t="s">
        <v>11</v>
      </c>
      <c r="B24" s="4">
        <f t="shared" ca="1" si="3"/>
        <v>376</v>
      </c>
      <c r="C24" s="4">
        <f t="shared" ca="1" si="4"/>
        <v>46</v>
      </c>
      <c r="D24" s="4">
        <f t="shared" ca="1" si="4"/>
        <v>172</v>
      </c>
      <c r="E24" s="4">
        <f t="shared" ca="1" si="4"/>
        <v>752</v>
      </c>
      <c r="F24" s="4">
        <f t="shared" ca="1" si="4"/>
        <v>659</v>
      </c>
      <c r="G24" s="4">
        <f t="shared" ca="1" si="4"/>
        <v>257</v>
      </c>
      <c r="H24" s="4">
        <f t="shared" ca="1" si="4"/>
        <v>143</v>
      </c>
      <c r="I24" s="4">
        <f t="shared" ca="1" si="4"/>
        <v>374</v>
      </c>
      <c r="J24" s="4">
        <f t="shared" ca="1" si="4"/>
        <v>525</v>
      </c>
      <c r="K24" s="4">
        <f t="shared" ca="1" si="4"/>
        <v>658</v>
      </c>
      <c r="L24" s="4">
        <f t="shared" ca="1" si="4"/>
        <v>331</v>
      </c>
      <c r="M24" s="4">
        <f t="shared" ca="1" si="4"/>
        <v>943</v>
      </c>
      <c r="N24" s="4">
        <f t="shared" ca="1" si="4"/>
        <v>391</v>
      </c>
      <c r="O24" s="4">
        <f t="shared" ca="1" si="4"/>
        <v>880</v>
      </c>
      <c r="P24" s="4">
        <f t="shared" ca="1" si="4"/>
        <v>589</v>
      </c>
      <c r="Q24" s="4">
        <f t="shared" ca="1" si="4"/>
        <v>477</v>
      </c>
      <c r="R24" s="4">
        <f t="shared" ca="1" si="4"/>
        <v>973</v>
      </c>
      <c r="S24" s="4">
        <f t="shared" ca="1" si="4"/>
        <v>963</v>
      </c>
      <c r="T24" s="4">
        <f t="shared" ca="1" si="4"/>
        <v>107</v>
      </c>
      <c r="U24" s="4">
        <f t="shared" ca="1" si="4"/>
        <v>617</v>
      </c>
      <c r="V24" s="4">
        <f t="shared" ca="1" si="4"/>
        <v>716</v>
      </c>
      <c r="W24" s="4">
        <f t="shared" ca="1" si="4"/>
        <v>530</v>
      </c>
      <c r="X24" s="4">
        <f t="shared" ca="1" si="4"/>
        <v>548</v>
      </c>
      <c r="Y24" s="4">
        <f t="shared" ca="1" si="4"/>
        <v>330</v>
      </c>
      <c r="Z24" s="4">
        <f t="shared" ca="1" si="4"/>
        <v>418</v>
      </c>
      <c r="AA24" s="4">
        <f t="shared" ca="1" si="4"/>
        <v>220</v>
      </c>
      <c r="AB24" s="4">
        <f t="shared" ca="1" si="4"/>
        <v>878</v>
      </c>
      <c r="AC24" s="4">
        <f t="shared" ca="1" si="4"/>
        <v>318</v>
      </c>
      <c r="AD24" s="4">
        <f t="shared" ca="1" si="4"/>
        <v>54</v>
      </c>
      <c r="AE24" s="4">
        <f t="shared" ca="1" si="4"/>
        <v>885</v>
      </c>
    </row>
    <row r="25" spans="1:31" x14ac:dyDescent="0.3">
      <c r="A25" s="1" t="s">
        <v>23</v>
      </c>
      <c r="B25" s="4">
        <f t="shared" ca="1" si="3"/>
        <v>584</v>
      </c>
      <c r="C25" s="4">
        <f t="shared" ca="1" si="4"/>
        <v>827</v>
      </c>
      <c r="D25" s="4">
        <f t="shared" ca="1" si="4"/>
        <v>115</v>
      </c>
      <c r="E25" s="4">
        <f t="shared" ca="1" si="4"/>
        <v>891</v>
      </c>
      <c r="F25" s="4">
        <f t="shared" ca="1" si="4"/>
        <v>146</v>
      </c>
      <c r="G25" s="4">
        <f t="shared" ca="1" si="4"/>
        <v>554</v>
      </c>
      <c r="H25" s="4">
        <f t="shared" ca="1" si="4"/>
        <v>128</v>
      </c>
      <c r="I25" s="4">
        <f t="shared" ca="1" si="4"/>
        <v>564</v>
      </c>
      <c r="J25" s="4">
        <f t="shared" ca="1" si="4"/>
        <v>227</v>
      </c>
      <c r="K25" s="4">
        <f t="shared" ca="1" si="4"/>
        <v>7</v>
      </c>
      <c r="L25" s="4">
        <f t="shared" ref="L25:AE25" ca="1" si="5">RANDBETWEEN(1,1000)</f>
        <v>512</v>
      </c>
      <c r="M25" s="4">
        <f t="shared" ca="1" si="5"/>
        <v>17</v>
      </c>
      <c r="N25" s="4">
        <f t="shared" ca="1" si="5"/>
        <v>141</v>
      </c>
      <c r="O25" s="4">
        <f t="shared" ca="1" si="5"/>
        <v>173</v>
      </c>
      <c r="P25" s="4">
        <f t="shared" ca="1" si="5"/>
        <v>745</v>
      </c>
      <c r="Q25" s="4">
        <f t="shared" ca="1" si="5"/>
        <v>833</v>
      </c>
      <c r="R25" s="4">
        <f t="shared" ca="1" si="5"/>
        <v>89</v>
      </c>
      <c r="S25" s="4">
        <f t="shared" ca="1" si="5"/>
        <v>739</v>
      </c>
      <c r="T25" s="4">
        <f t="shared" ca="1" si="5"/>
        <v>885</v>
      </c>
      <c r="U25" s="4">
        <f t="shared" ca="1" si="5"/>
        <v>178</v>
      </c>
      <c r="V25" s="4">
        <f t="shared" ca="1" si="5"/>
        <v>520</v>
      </c>
      <c r="W25" s="4">
        <f t="shared" ca="1" si="5"/>
        <v>705</v>
      </c>
      <c r="X25" s="4">
        <f t="shared" ca="1" si="5"/>
        <v>425</v>
      </c>
      <c r="Y25" s="4">
        <f t="shared" ca="1" si="5"/>
        <v>63</v>
      </c>
      <c r="Z25" s="4">
        <f t="shared" ca="1" si="5"/>
        <v>908</v>
      </c>
      <c r="AA25" s="4">
        <f t="shared" ca="1" si="5"/>
        <v>308</v>
      </c>
      <c r="AB25" s="4">
        <f t="shared" ca="1" si="5"/>
        <v>399</v>
      </c>
      <c r="AC25" s="4">
        <f t="shared" ca="1" si="5"/>
        <v>241</v>
      </c>
      <c r="AD25" s="4">
        <f t="shared" ca="1" si="5"/>
        <v>970</v>
      </c>
      <c r="AE25" s="4">
        <f t="shared" ca="1" si="5"/>
        <v>465</v>
      </c>
    </row>
    <row r="27" spans="1:31" x14ac:dyDescent="0.3">
      <c r="A27" s="3" t="s">
        <v>3</v>
      </c>
    </row>
    <row r="28" spans="1:31" x14ac:dyDescent="0.3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3">
      <c r="A29" s="1" t="s">
        <v>24</v>
      </c>
      <c r="B29" s="4">
        <f t="shared" ref="B29:Q38" ca="1" si="6">RANDBETWEEN(1,1000)</f>
        <v>360</v>
      </c>
      <c r="C29" s="4">
        <f t="shared" ca="1" si="6"/>
        <v>474</v>
      </c>
      <c r="D29" s="4">
        <f t="shared" ca="1" si="6"/>
        <v>377</v>
      </c>
      <c r="E29" s="4">
        <f t="shared" ca="1" si="6"/>
        <v>714</v>
      </c>
      <c r="F29" s="4">
        <f t="shared" ca="1" si="6"/>
        <v>448</v>
      </c>
      <c r="G29" s="4">
        <f t="shared" ca="1" si="6"/>
        <v>910</v>
      </c>
      <c r="H29" s="4">
        <f t="shared" ca="1" si="6"/>
        <v>845</v>
      </c>
      <c r="I29" s="4">
        <f t="shared" ca="1" si="6"/>
        <v>786</v>
      </c>
      <c r="J29" s="4">
        <f t="shared" ca="1" si="6"/>
        <v>302</v>
      </c>
      <c r="K29" s="4">
        <f t="shared" ca="1" si="6"/>
        <v>218</v>
      </c>
      <c r="L29" s="4">
        <f t="shared" ca="1" si="6"/>
        <v>964</v>
      </c>
      <c r="M29" s="4">
        <f t="shared" ca="1" si="6"/>
        <v>666</v>
      </c>
      <c r="N29" s="4">
        <f t="shared" ca="1" si="6"/>
        <v>41</v>
      </c>
      <c r="O29" s="4">
        <f t="shared" ca="1" si="6"/>
        <v>180</v>
      </c>
      <c r="P29" s="4">
        <f t="shared" ca="1" si="6"/>
        <v>544</v>
      </c>
      <c r="Q29" s="4">
        <f t="shared" ca="1" si="6"/>
        <v>476</v>
      </c>
      <c r="R29" s="4">
        <f t="shared" ref="C29:AE38" ca="1" si="7">RANDBETWEEN(1,1000)</f>
        <v>647</v>
      </c>
      <c r="S29" s="4">
        <f t="shared" ca="1" si="7"/>
        <v>976</v>
      </c>
      <c r="T29" s="4">
        <f t="shared" ca="1" si="7"/>
        <v>908</v>
      </c>
      <c r="U29" s="4">
        <f t="shared" ca="1" si="7"/>
        <v>173</v>
      </c>
      <c r="V29" s="4">
        <f t="shared" ca="1" si="7"/>
        <v>772</v>
      </c>
      <c r="W29" s="4">
        <f t="shared" ca="1" si="7"/>
        <v>269</v>
      </c>
      <c r="X29" s="4">
        <f t="shared" ca="1" si="7"/>
        <v>998</v>
      </c>
      <c r="Y29" s="4">
        <f t="shared" ca="1" si="7"/>
        <v>223</v>
      </c>
      <c r="Z29" s="4">
        <f t="shared" ca="1" si="7"/>
        <v>652</v>
      </c>
      <c r="AA29" s="4">
        <f t="shared" ca="1" si="7"/>
        <v>851</v>
      </c>
      <c r="AB29" s="4">
        <f t="shared" ca="1" si="7"/>
        <v>337</v>
      </c>
      <c r="AC29" s="4">
        <f t="shared" ca="1" si="7"/>
        <v>459</v>
      </c>
      <c r="AD29" s="4">
        <f t="shared" ca="1" si="7"/>
        <v>176</v>
      </c>
      <c r="AE29" s="4">
        <f t="shared" ca="1" si="7"/>
        <v>41</v>
      </c>
    </row>
    <row r="30" spans="1:31" x14ac:dyDescent="0.3">
      <c r="A30" s="1" t="s">
        <v>25</v>
      </c>
      <c r="B30" s="4">
        <f t="shared" ca="1" si="6"/>
        <v>534</v>
      </c>
      <c r="C30" s="4">
        <f t="shared" ca="1" si="7"/>
        <v>866</v>
      </c>
      <c r="D30" s="4">
        <f t="shared" ca="1" si="7"/>
        <v>807</v>
      </c>
      <c r="E30" s="4">
        <f t="shared" ca="1" si="7"/>
        <v>683</v>
      </c>
      <c r="F30" s="4">
        <f t="shared" ca="1" si="7"/>
        <v>513</v>
      </c>
      <c r="G30" s="4">
        <f t="shared" ca="1" si="7"/>
        <v>463</v>
      </c>
      <c r="H30" s="4">
        <f t="shared" ca="1" si="7"/>
        <v>713</v>
      </c>
      <c r="I30" s="4">
        <f t="shared" ca="1" si="7"/>
        <v>607</v>
      </c>
      <c r="J30" s="4">
        <f t="shared" ca="1" si="7"/>
        <v>327</v>
      </c>
      <c r="K30" s="4">
        <f t="shared" ca="1" si="7"/>
        <v>86</v>
      </c>
      <c r="L30" s="4">
        <f t="shared" ca="1" si="7"/>
        <v>140</v>
      </c>
      <c r="M30" s="4">
        <f t="shared" ca="1" si="7"/>
        <v>437</v>
      </c>
      <c r="N30" s="4">
        <f t="shared" ca="1" si="7"/>
        <v>774</v>
      </c>
      <c r="O30" s="4">
        <f t="shared" ca="1" si="7"/>
        <v>303</v>
      </c>
      <c r="P30" s="4">
        <f t="shared" ca="1" si="7"/>
        <v>83</v>
      </c>
      <c r="Q30" s="4">
        <f t="shared" ca="1" si="7"/>
        <v>138</v>
      </c>
      <c r="R30" s="4">
        <f t="shared" ca="1" si="7"/>
        <v>818</v>
      </c>
      <c r="S30" s="4">
        <f t="shared" ca="1" si="7"/>
        <v>937</v>
      </c>
      <c r="T30" s="4">
        <f t="shared" ca="1" si="7"/>
        <v>716</v>
      </c>
      <c r="U30" s="4">
        <f t="shared" ca="1" si="7"/>
        <v>205</v>
      </c>
      <c r="V30" s="4">
        <f t="shared" ca="1" si="7"/>
        <v>895</v>
      </c>
      <c r="W30" s="4">
        <f t="shared" ca="1" si="7"/>
        <v>325</v>
      </c>
      <c r="X30" s="4">
        <f t="shared" ca="1" si="7"/>
        <v>656</v>
      </c>
      <c r="Y30" s="4">
        <f t="shared" ca="1" si="7"/>
        <v>587</v>
      </c>
      <c r="Z30" s="4">
        <f t="shared" ca="1" si="7"/>
        <v>308</v>
      </c>
      <c r="AA30" s="4">
        <f t="shared" ca="1" si="7"/>
        <v>113</v>
      </c>
      <c r="AB30" s="4">
        <f t="shared" ca="1" si="7"/>
        <v>820</v>
      </c>
      <c r="AC30" s="4">
        <f t="shared" ca="1" si="7"/>
        <v>314</v>
      </c>
      <c r="AD30" s="4">
        <f t="shared" ca="1" si="7"/>
        <v>596</v>
      </c>
      <c r="AE30" s="4">
        <f t="shared" ca="1" si="7"/>
        <v>753</v>
      </c>
    </row>
    <row r="31" spans="1:31" x14ac:dyDescent="0.3">
      <c r="A31" s="1" t="s">
        <v>26</v>
      </c>
      <c r="B31" s="4">
        <f t="shared" ca="1" si="6"/>
        <v>937</v>
      </c>
      <c r="C31" s="4">
        <f t="shared" ca="1" si="7"/>
        <v>116</v>
      </c>
      <c r="D31" s="4">
        <f t="shared" ca="1" si="7"/>
        <v>54</v>
      </c>
      <c r="E31" s="4">
        <f t="shared" ca="1" si="7"/>
        <v>461</v>
      </c>
      <c r="F31" s="4">
        <f t="shared" ca="1" si="7"/>
        <v>738</v>
      </c>
      <c r="G31" s="4">
        <f t="shared" ca="1" si="7"/>
        <v>292</v>
      </c>
      <c r="H31" s="4">
        <f t="shared" ca="1" si="7"/>
        <v>113</v>
      </c>
      <c r="I31" s="4">
        <f t="shared" ca="1" si="7"/>
        <v>362</v>
      </c>
      <c r="J31" s="4">
        <f t="shared" ca="1" si="7"/>
        <v>596</v>
      </c>
      <c r="K31" s="4">
        <f t="shared" ca="1" si="7"/>
        <v>490</v>
      </c>
      <c r="L31" s="4">
        <f t="shared" ca="1" si="7"/>
        <v>354</v>
      </c>
      <c r="M31" s="4">
        <f t="shared" ca="1" si="7"/>
        <v>780</v>
      </c>
      <c r="N31" s="4">
        <f t="shared" ca="1" si="7"/>
        <v>115</v>
      </c>
      <c r="O31" s="4">
        <f t="shared" ca="1" si="7"/>
        <v>328</v>
      </c>
      <c r="P31" s="4">
        <f t="shared" ca="1" si="7"/>
        <v>982</v>
      </c>
      <c r="Q31" s="4">
        <f t="shared" ca="1" si="7"/>
        <v>913</v>
      </c>
      <c r="R31" s="4">
        <f t="shared" ca="1" si="7"/>
        <v>27</v>
      </c>
      <c r="S31" s="4">
        <f t="shared" ca="1" si="7"/>
        <v>897</v>
      </c>
      <c r="T31" s="4">
        <f t="shared" ca="1" si="7"/>
        <v>296</v>
      </c>
      <c r="U31" s="4">
        <f t="shared" ca="1" si="7"/>
        <v>706</v>
      </c>
      <c r="V31" s="4">
        <f t="shared" ca="1" si="7"/>
        <v>288</v>
      </c>
      <c r="W31" s="4">
        <f t="shared" ca="1" si="7"/>
        <v>653</v>
      </c>
      <c r="X31" s="4">
        <f t="shared" ca="1" si="7"/>
        <v>822</v>
      </c>
      <c r="Y31" s="4">
        <f t="shared" ca="1" si="7"/>
        <v>67</v>
      </c>
      <c r="Z31" s="4">
        <f t="shared" ca="1" si="7"/>
        <v>83</v>
      </c>
      <c r="AA31" s="4">
        <f t="shared" ca="1" si="7"/>
        <v>660</v>
      </c>
      <c r="AB31" s="4">
        <f t="shared" ca="1" si="7"/>
        <v>24</v>
      </c>
      <c r="AC31" s="4">
        <f t="shared" ca="1" si="7"/>
        <v>914</v>
      </c>
      <c r="AD31" s="4">
        <f t="shared" ca="1" si="7"/>
        <v>965</v>
      </c>
      <c r="AE31" s="4">
        <f t="shared" ca="1" si="7"/>
        <v>389</v>
      </c>
    </row>
    <row r="32" spans="1:31" x14ac:dyDescent="0.3">
      <c r="A32" s="1" t="s">
        <v>27</v>
      </c>
      <c r="B32" s="4">
        <f t="shared" ca="1" si="6"/>
        <v>868</v>
      </c>
      <c r="C32" s="4">
        <f t="shared" ca="1" si="7"/>
        <v>353</v>
      </c>
      <c r="D32" s="4">
        <f t="shared" ca="1" si="7"/>
        <v>479</v>
      </c>
      <c r="E32" s="4">
        <f t="shared" ca="1" si="7"/>
        <v>170</v>
      </c>
      <c r="F32" s="4">
        <f t="shared" ca="1" si="7"/>
        <v>670</v>
      </c>
      <c r="G32" s="4">
        <f t="shared" ca="1" si="7"/>
        <v>876</v>
      </c>
      <c r="H32" s="4">
        <f t="shared" ca="1" si="7"/>
        <v>823</v>
      </c>
      <c r="I32" s="4">
        <f t="shared" ca="1" si="7"/>
        <v>970</v>
      </c>
      <c r="J32" s="4">
        <f t="shared" ca="1" si="7"/>
        <v>387</v>
      </c>
      <c r="K32" s="4">
        <f t="shared" ca="1" si="7"/>
        <v>596</v>
      </c>
      <c r="L32" s="4">
        <f t="shared" ca="1" si="7"/>
        <v>956</v>
      </c>
      <c r="M32" s="4">
        <f t="shared" ca="1" si="7"/>
        <v>526</v>
      </c>
      <c r="N32" s="4">
        <f t="shared" ca="1" si="7"/>
        <v>213</v>
      </c>
      <c r="O32" s="4">
        <f t="shared" ca="1" si="7"/>
        <v>316</v>
      </c>
      <c r="P32" s="4">
        <f t="shared" ca="1" si="7"/>
        <v>932</v>
      </c>
      <c r="Q32" s="4">
        <f t="shared" ca="1" si="7"/>
        <v>367</v>
      </c>
      <c r="R32" s="4">
        <f t="shared" ca="1" si="7"/>
        <v>877</v>
      </c>
      <c r="S32" s="4">
        <f t="shared" ca="1" si="7"/>
        <v>22</v>
      </c>
      <c r="T32" s="4">
        <f t="shared" ca="1" si="7"/>
        <v>725</v>
      </c>
      <c r="U32" s="4">
        <f t="shared" ca="1" si="7"/>
        <v>368</v>
      </c>
      <c r="V32" s="4">
        <f t="shared" ca="1" si="7"/>
        <v>588</v>
      </c>
      <c r="W32" s="4">
        <f t="shared" ca="1" si="7"/>
        <v>296</v>
      </c>
      <c r="X32" s="4">
        <f t="shared" ca="1" si="7"/>
        <v>588</v>
      </c>
      <c r="Y32" s="4">
        <f t="shared" ca="1" si="7"/>
        <v>828</v>
      </c>
      <c r="Z32" s="4">
        <f t="shared" ca="1" si="7"/>
        <v>589</v>
      </c>
      <c r="AA32" s="4">
        <f t="shared" ca="1" si="7"/>
        <v>333</v>
      </c>
      <c r="AB32" s="4">
        <f t="shared" ca="1" si="7"/>
        <v>166</v>
      </c>
      <c r="AC32" s="4">
        <f t="shared" ca="1" si="7"/>
        <v>364</v>
      </c>
      <c r="AD32" s="4">
        <f t="shared" ca="1" si="7"/>
        <v>445</v>
      </c>
      <c r="AE32" s="4">
        <f t="shared" ca="1" si="7"/>
        <v>658</v>
      </c>
    </row>
    <row r="33" spans="1:31" x14ac:dyDescent="0.3">
      <c r="A33" s="1" t="s">
        <v>28</v>
      </c>
      <c r="B33" s="4">
        <f t="shared" ca="1" si="6"/>
        <v>961</v>
      </c>
      <c r="C33" s="4">
        <f t="shared" ca="1" si="7"/>
        <v>20</v>
      </c>
      <c r="D33" s="4">
        <f t="shared" ca="1" si="7"/>
        <v>735</v>
      </c>
      <c r="E33" s="4">
        <f t="shared" ca="1" si="7"/>
        <v>635</v>
      </c>
      <c r="F33" s="4">
        <f t="shared" ca="1" si="7"/>
        <v>111</v>
      </c>
      <c r="G33" s="4">
        <f t="shared" ca="1" si="7"/>
        <v>120</v>
      </c>
      <c r="H33" s="4">
        <f t="shared" ca="1" si="7"/>
        <v>482</v>
      </c>
      <c r="I33" s="4">
        <f t="shared" ca="1" si="7"/>
        <v>856</v>
      </c>
      <c r="J33" s="4">
        <f t="shared" ca="1" si="7"/>
        <v>42</v>
      </c>
      <c r="K33" s="4">
        <f t="shared" ca="1" si="7"/>
        <v>410</v>
      </c>
      <c r="L33" s="4">
        <f t="shared" ca="1" si="7"/>
        <v>683</v>
      </c>
      <c r="M33" s="4">
        <f t="shared" ca="1" si="7"/>
        <v>977</v>
      </c>
      <c r="N33" s="4">
        <f t="shared" ca="1" si="7"/>
        <v>40</v>
      </c>
      <c r="O33" s="4">
        <f t="shared" ca="1" si="7"/>
        <v>767</v>
      </c>
      <c r="P33" s="4">
        <f t="shared" ca="1" si="7"/>
        <v>827</v>
      </c>
      <c r="Q33" s="4">
        <f t="shared" ca="1" si="7"/>
        <v>237</v>
      </c>
      <c r="R33" s="4">
        <f t="shared" ca="1" si="7"/>
        <v>343</v>
      </c>
      <c r="S33" s="4">
        <f t="shared" ca="1" si="7"/>
        <v>64</v>
      </c>
      <c r="T33" s="4">
        <f t="shared" ca="1" si="7"/>
        <v>106</v>
      </c>
      <c r="U33" s="4">
        <f t="shared" ca="1" si="7"/>
        <v>417</v>
      </c>
      <c r="V33" s="4">
        <f t="shared" ca="1" si="7"/>
        <v>151</v>
      </c>
      <c r="W33" s="4">
        <f t="shared" ca="1" si="7"/>
        <v>689</v>
      </c>
      <c r="X33" s="4">
        <f t="shared" ca="1" si="7"/>
        <v>339</v>
      </c>
      <c r="Y33" s="4">
        <f t="shared" ca="1" si="7"/>
        <v>809</v>
      </c>
      <c r="Z33" s="4">
        <f t="shared" ca="1" si="7"/>
        <v>415</v>
      </c>
      <c r="AA33" s="4">
        <f t="shared" ca="1" si="7"/>
        <v>49</v>
      </c>
      <c r="AB33" s="4">
        <f t="shared" ca="1" si="7"/>
        <v>796</v>
      </c>
      <c r="AC33" s="4">
        <f t="shared" ca="1" si="7"/>
        <v>798</v>
      </c>
      <c r="AD33" s="4">
        <f t="shared" ca="1" si="7"/>
        <v>677</v>
      </c>
      <c r="AE33" s="4">
        <f t="shared" ca="1" si="7"/>
        <v>373</v>
      </c>
    </row>
    <row r="34" spans="1:31" x14ac:dyDescent="0.3">
      <c r="A34" s="1" t="s">
        <v>29</v>
      </c>
      <c r="B34" s="4">
        <f t="shared" ca="1" si="6"/>
        <v>642</v>
      </c>
      <c r="C34" s="4">
        <f t="shared" ca="1" si="7"/>
        <v>358</v>
      </c>
      <c r="D34" s="4">
        <f t="shared" ca="1" si="7"/>
        <v>522</v>
      </c>
      <c r="E34" s="4">
        <f t="shared" ca="1" si="7"/>
        <v>146</v>
      </c>
      <c r="F34" s="4">
        <f t="shared" ca="1" si="7"/>
        <v>946</v>
      </c>
      <c r="G34" s="4">
        <f t="shared" ca="1" si="7"/>
        <v>393</v>
      </c>
      <c r="H34" s="4">
        <f t="shared" ca="1" si="7"/>
        <v>306</v>
      </c>
      <c r="I34" s="4">
        <f t="shared" ca="1" si="7"/>
        <v>794</v>
      </c>
      <c r="J34" s="4">
        <f t="shared" ca="1" si="7"/>
        <v>623</v>
      </c>
      <c r="K34" s="4">
        <f t="shared" ca="1" si="7"/>
        <v>540</v>
      </c>
      <c r="L34" s="4">
        <f t="shared" ca="1" si="7"/>
        <v>62</v>
      </c>
      <c r="M34" s="4">
        <f t="shared" ca="1" si="7"/>
        <v>819</v>
      </c>
      <c r="N34" s="4">
        <f t="shared" ca="1" si="7"/>
        <v>909</v>
      </c>
      <c r="O34" s="4">
        <f t="shared" ca="1" si="7"/>
        <v>42</v>
      </c>
      <c r="P34" s="4">
        <f t="shared" ca="1" si="7"/>
        <v>240</v>
      </c>
      <c r="Q34" s="4">
        <f t="shared" ca="1" si="7"/>
        <v>722</v>
      </c>
      <c r="R34" s="4">
        <f t="shared" ca="1" si="7"/>
        <v>23</v>
      </c>
      <c r="S34" s="4">
        <f t="shared" ca="1" si="7"/>
        <v>350</v>
      </c>
      <c r="T34" s="4">
        <f t="shared" ca="1" si="7"/>
        <v>442</v>
      </c>
      <c r="U34" s="4">
        <f t="shared" ca="1" si="7"/>
        <v>214</v>
      </c>
      <c r="V34" s="4">
        <f t="shared" ca="1" si="7"/>
        <v>516</v>
      </c>
      <c r="W34" s="4">
        <f t="shared" ca="1" si="7"/>
        <v>443</v>
      </c>
      <c r="X34" s="4">
        <f t="shared" ca="1" si="7"/>
        <v>847</v>
      </c>
      <c r="Y34" s="4">
        <f t="shared" ca="1" si="7"/>
        <v>677</v>
      </c>
      <c r="Z34" s="4">
        <f t="shared" ca="1" si="7"/>
        <v>125</v>
      </c>
      <c r="AA34" s="4">
        <f t="shared" ca="1" si="7"/>
        <v>929</v>
      </c>
      <c r="AB34" s="4">
        <f t="shared" ca="1" si="7"/>
        <v>113</v>
      </c>
      <c r="AC34" s="4">
        <f t="shared" ca="1" si="7"/>
        <v>886</v>
      </c>
      <c r="AD34" s="4">
        <f t="shared" ca="1" si="7"/>
        <v>187</v>
      </c>
      <c r="AE34" s="4">
        <f t="shared" ca="1" si="7"/>
        <v>209</v>
      </c>
    </row>
    <row r="35" spans="1:31" x14ac:dyDescent="0.3">
      <c r="A35" s="1" t="s">
        <v>30</v>
      </c>
      <c r="B35" s="4">
        <f t="shared" ca="1" si="6"/>
        <v>48</v>
      </c>
      <c r="C35" s="4">
        <f t="shared" ca="1" si="7"/>
        <v>475</v>
      </c>
      <c r="D35" s="4">
        <f t="shared" ca="1" si="7"/>
        <v>45</v>
      </c>
      <c r="E35" s="4">
        <f t="shared" ca="1" si="7"/>
        <v>746</v>
      </c>
      <c r="F35" s="4">
        <f t="shared" ca="1" si="7"/>
        <v>559</v>
      </c>
      <c r="G35" s="4">
        <f t="shared" ca="1" si="7"/>
        <v>189</v>
      </c>
      <c r="H35" s="4">
        <f t="shared" ca="1" si="7"/>
        <v>665</v>
      </c>
      <c r="I35" s="4">
        <f t="shared" ca="1" si="7"/>
        <v>862</v>
      </c>
      <c r="J35" s="4">
        <f t="shared" ca="1" si="7"/>
        <v>320</v>
      </c>
      <c r="K35" s="4">
        <f t="shared" ca="1" si="7"/>
        <v>731</v>
      </c>
      <c r="L35" s="4">
        <f t="shared" ca="1" si="7"/>
        <v>80</v>
      </c>
      <c r="M35" s="4">
        <f t="shared" ca="1" si="7"/>
        <v>761</v>
      </c>
      <c r="N35" s="4">
        <f t="shared" ca="1" si="7"/>
        <v>468</v>
      </c>
      <c r="O35" s="4">
        <f t="shared" ca="1" si="7"/>
        <v>812</v>
      </c>
      <c r="P35" s="4">
        <f t="shared" ca="1" si="7"/>
        <v>647</v>
      </c>
      <c r="Q35" s="4">
        <f t="shared" ca="1" si="7"/>
        <v>798</v>
      </c>
      <c r="R35" s="4">
        <f t="shared" ca="1" si="7"/>
        <v>600</v>
      </c>
      <c r="S35" s="4">
        <f t="shared" ca="1" si="7"/>
        <v>516</v>
      </c>
      <c r="T35" s="4">
        <f t="shared" ca="1" si="7"/>
        <v>941</v>
      </c>
      <c r="U35" s="4">
        <f t="shared" ca="1" si="7"/>
        <v>879</v>
      </c>
      <c r="V35" s="4">
        <f t="shared" ca="1" si="7"/>
        <v>226</v>
      </c>
      <c r="W35" s="4">
        <f t="shared" ca="1" si="7"/>
        <v>758</v>
      </c>
      <c r="X35" s="4">
        <f t="shared" ca="1" si="7"/>
        <v>673</v>
      </c>
      <c r="Y35" s="4">
        <f t="shared" ca="1" si="7"/>
        <v>917</v>
      </c>
      <c r="Z35" s="4">
        <f t="shared" ca="1" si="7"/>
        <v>387</v>
      </c>
      <c r="AA35" s="4">
        <f t="shared" ca="1" si="7"/>
        <v>717</v>
      </c>
      <c r="AB35" s="4">
        <f t="shared" ca="1" si="7"/>
        <v>793</v>
      </c>
      <c r="AC35" s="4">
        <f t="shared" ca="1" si="7"/>
        <v>678</v>
      </c>
      <c r="AD35" s="4">
        <f t="shared" ca="1" si="7"/>
        <v>754</v>
      </c>
      <c r="AE35" s="4">
        <f t="shared" ca="1" si="7"/>
        <v>6</v>
      </c>
    </row>
    <row r="36" spans="1:31" x14ac:dyDescent="0.3">
      <c r="A36" s="1" t="s">
        <v>31</v>
      </c>
      <c r="B36" s="4">
        <f t="shared" ca="1" si="6"/>
        <v>547</v>
      </c>
      <c r="C36" s="4">
        <f t="shared" ca="1" si="7"/>
        <v>237</v>
      </c>
      <c r="D36" s="4">
        <f t="shared" ca="1" si="7"/>
        <v>694</v>
      </c>
      <c r="E36" s="4">
        <f t="shared" ca="1" si="7"/>
        <v>721</v>
      </c>
      <c r="F36" s="4">
        <f t="shared" ca="1" si="7"/>
        <v>220</v>
      </c>
      <c r="G36" s="4">
        <f t="shared" ca="1" si="7"/>
        <v>85</v>
      </c>
      <c r="H36" s="4">
        <f t="shared" ca="1" si="7"/>
        <v>736</v>
      </c>
      <c r="I36" s="4">
        <f t="shared" ca="1" si="7"/>
        <v>25</v>
      </c>
      <c r="J36" s="4">
        <f t="shared" ca="1" si="7"/>
        <v>787</v>
      </c>
      <c r="K36" s="4">
        <f t="shared" ca="1" si="7"/>
        <v>731</v>
      </c>
      <c r="L36" s="4">
        <f t="shared" ca="1" si="7"/>
        <v>308</v>
      </c>
      <c r="M36" s="4">
        <f t="shared" ca="1" si="7"/>
        <v>268</v>
      </c>
      <c r="N36" s="4">
        <f t="shared" ca="1" si="7"/>
        <v>123</v>
      </c>
      <c r="O36" s="4">
        <f t="shared" ca="1" si="7"/>
        <v>394</v>
      </c>
      <c r="P36" s="4">
        <f t="shared" ca="1" si="7"/>
        <v>407</v>
      </c>
      <c r="Q36" s="4">
        <f t="shared" ca="1" si="7"/>
        <v>275</v>
      </c>
      <c r="R36" s="4">
        <f t="shared" ca="1" si="7"/>
        <v>472</v>
      </c>
      <c r="S36" s="4">
        <f t="shared" ca="1" si="7"/>
        <v>502</v>
      </c>
      <c r="T36" s="4">
        <f t="shared" ca="1" si="7"/>
        <v>340</v>
      </c>
      <c r="U36" s="4">
        <f t="shared" ca="1" si="7"/>
        <v>93</v>
      </c>
      <c r="V36" s="4">
        <f t="shared" ca="1" si="7"/>
        <v>178</v>
      </c>
      <c r="W36" s="4">
        <f t="shared" ca="1" si="7"/>
        <v>230</v>
      </c>
      <c r="X36" s="4">
        <f t="shared" ca="1" si="7"/>
        <v>421</v>
      </c>
      <c r="Y36" s="4">
        <f t="shared" ca="1" si="7"/>
        <v>776</v>
      </c>
      <c r="Z36" s="4">
        <f t="shared" ca="1" si="7"/>
        <v>561</v>
      </c>
      <c r="AA36" s="4">
        <f t="shared" ca="1" si="7"/>
        <v>805</v>
      </c>
      <c r="AB36" s="4">
        <f t="shared" ca="1" si="7"/>
        <v>187</v>
      </c>
      <c r="AC36" s="4">
        <f t="shared" ca="1" si="7"/>
        <v>837</v>
      </c>
      <c r="AD36" s="4">
        <f t="shared" ca="1" si="7"/>
        <v>482</v>
      </c>
      <c r="AE36" s="4">
        <f t="shared" ca="1" si="7"/>
        <v>624</v>
      </c>
    </row>
    <row r="37" spans="1:31" x14ac:dyDescent="0.3">
      <c r="A37" s="1" t="s">
        <v>32</v>
      </c>
      <c r="B37" s="4">
        <f t="shared" ca="1" si="6"/>
        <v>997</v>
      </c>
      <c r="C37" s="4">
        <f t="shared" ca="1" si="7"/>
        <v>385</v>
      </c>
      <c r="D37" s="4">
        <f t="shared" ca="1" si="7"/>
        <v>727</v>
      </c>
      <c r="E37" s="4">
        <f t="shared" ca="1" si="7"/>
        <v>495</v>
      </c>
      <c r="F37" s="4">
        <f t="shared" ca="1" si="7"/>
        <v>574</v>
      </c>
      <c r="G37" s="4">
        <f t="shared" ca="1" si="7"/>
        <v>985</v>
      </c>
      <c r="H37" s="4">
        <f t="shared" ca="1" si="7"/>
        <v>170</v>
      </c>
      <c r="I37" s="4">
        <f t="shared" ca="1" si="7"/>
        <v>366</v>
      </c>
      <c r="J37" s="4">
        <f t="shared" ca="1" si="7"/>
        <v>797</v>
      </c>
      <c r="K37" s="4">
        <f t="shared" ca="1" si="7"/>
        <v>296</v>
      </c>
      <c r="L37" s="4">
        <f t="shared" ca="1" si="7"/>
        <v>538</v>
      </c>
      <c r="M37" s="4">
        <f t="shared" ca="1" si="7"/>
        <v>200</v>
      </c>
      <c r="N37" s="4">
        <f t="shared" ca="1" si="7"/>
        <v>429</v>
      </c>
      <c r="O37" s="4">
        <f t="shared" ca="1" si="7"/>
        <v>79</v>
      </c>
      <c r="P37" s="4">
        <f t="shared" ca="1" si="7"/>
        <v>894</v>
      </c>
      <c r="Q37" s="4">
        <f t="shared" ca="1" si="7"/>
        <v>637</v>
      </c>
      <c r="R37" s="4">
        <f t="shared" ca="1" si="7"/>
        <v>725</v>
      </c>
      <c r="S37" s="4">
        <f t="shared" ca="1" si="7"/>
        <v>876</v>
      </c>
      <c r="T37" s="4">
        <f t="shared" ca="1" si="7"/>
        <v>130</v>
      </c>
      <c r="U37" s="4">
        <f t="shared" ca="1" si="7"/>
        <v>956</v>
      </c>
      <c r="V37" s="4">
        <f t="shared" ca="1" si="7"/>
        <v>532</v>
      </c>
      <c r="W37" s="4">
        <f t="shared" ca="1" si="7"/>
        <v>408</v>
      </c>
      <c r="X37" s="4">
        <f t="shared" ca="1" si="7"/>
        <v>890</v>
      </c>
      <c r="Y37" s="4">
        <f t="shared" ca="1" si="7"/>
        <v>114</v>
      </c>
      <c r="Z37" s="4">
        <f t="shared" ca="1" si="7"/>
        <v>426</v>
      </c>
      <c r="AA37" s="4">
        <f t="shared" ca="1" si="7"/>
        <v>231</v>
      </c>
      <c r="AB37" s="4">
        <f t="shared" ca="1" si="7"/>
        <v>787</v>
      </c>
      <c r="AC37" s="4">
        <f t="shared" ca="1" si="7"/>
        <v>878</v>
      </c>
      <c r="AD37" s="4">
        <f t="shared" ca="1" si="7"/>
        <v>962</v>
      </c>
      <c r="AE37" s="4">
        <f t="shared" ca="1" si="7"/>
        <v>896</v>
      </c>
    </row>
    <row r="38" spans="1:31" x14ac:dyDescent="0.3">
      <c r="A38" s="1" t="s">
        <v>33</v>
      </c>
      <c r="B38" s="4">
        <f t="shared" ca="1" si="6"/>
        <v>459</v>
      </c>
      <c r="C38" s="4">
        <f t="shared" ca="1" si="7"/>
        <v>859</v>
      </c>
      <c r="D38" s="4">
        <f t="shared" ca="1" si="7"/>
        <v>181</v>
      </c>
      <c r="E38" s="4">
        <f t="shared" ca="1" si="7"/>
        <v>657</v>
      </c>
      <c r="F38" s="4">
        <f t="shared" ca="1" si="7"/>
        <v>949</v>
      </c>
      <c r="G38" s="4">
        <f t="shared" ca="1" si="7"/>
        <v>798</v>
      </c>
      <c r="H38" s="4">
        <f t="shared" ca="1" si="7"/>
        <v>877</v>
      </c>
      <c r="I38" s="4">
        <f t="shared" ca="1" si="7"/>
        <v>731</v>
      </c>
      <c r="J38" s="4">
        <f t="shared" ca="1" si="7"/>
        <v>659</v>
      </c>
      <c r="K38" s="4">
        <f t="shared" ca="1" si="7"/>
        <v>618</v>
      </c>
      <c r="L38" s="4">
        <f t="shared" ref="L38:AE38" ca="1" si="8">RANDBETWEEN(1,1000)</f>
        <v>997</v>
      </c>
      <c r="M38" s="4">
        <f t="shared" ca="1" si="8"/>
        <v>361</v>
      </c>
      <c r="N38" s="4">
        <f t="shared" ca="1" si="8"/>
        <v>87</v>
      </c>
      <c r="O38" s="4">
        <f t="shared" ca="1" si="8"/>
        <v>67</v>
      </c>
      <c r="P38" s="4">
        <f t="shared" ca="1" si="8"/>
        <v>746</v>
      </c>
      <c r="Q38" s="4">
        <f t="shared" ca="1" si="8"/>
        <v>952</v>
      </c>
      <c r="R38" s="4">
        <f t="shared" ca="1" si="8"/>
        <v>493</v>
      </c>
      <c r="S38" s="4">
        <f t="shared" ca="1" si="8"/>
        <v>893</v>
      </c>
      <c r="T38" s="4">
        <f t="shared" ca="1" si="8"/>
        <v>401</v>
      </c>
      <c r="U38" s="4">
        <f t="shared" ca="1" si="8"/>
        <v>653</v>
      </c>
      <c r="V38" s="4">
        <f t="shared" ca="1" si="8"/>
        <v>7</v>
      </c>
      <c r="W38" s="4">
        <f t="shared" ca="1" si="8"/>
        <v>811</v>
      </c>
      <c r="X38" s="4">
        <f t="shared" ca="1" si="8"/>
        <v>227</v>
      </c>
      <c r="Y38" s="4">
        <f t="shared" ca="1" si="8"/>
        <v>610</v>
      </c>
      <c r="Z38" s="4">
        <f t="shared" ca="1" si="8"/>
        <v>191</v>
      </c>
      <c r="AA38" s="4">
        <f t="shared" ca="1" si="8"/>
        <v>436</v>
      </c>
      <c r="AB38" s="4">
        <f t="shared" ca="1" si="8"/>
        <v>692</v>
      </c>
      <c r="AC38" s="4">
        <f t="shared" ca="1" si="8"/>
        <v>602</v>
      </c>
      <c r="AD38" s="4">
        <f t="shared" ca="1" si="8"/>
        <v>665</v>
      </c>
      <c r="AE38" s="4">
        <f t="shared" ca="1" si="8"/>
        <v>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D318E-7E8D-4C0E-ACFB-98B02EB04C81}">
  <dimension ref="A1:V35"/>
  <sheetViews>
    <sheetView showGridLines="0" topLeftCell="A4" workbookViewId="0">
      <selection activeCell="R25" sqref="R25:S26"/>
    </sheetView>
  </sheetViews>
  <sheetFormatPr defaultRowHeight="14.4" x14ac:dyDescent="0.3"/>
  <cols>
    <col min="1" max="1" width="15.44140625" bestFit="1" customWidth="1"/>
    <col min="2" max="2" width="8.44140625" bestFit="1" customWidth="1"/>
    <col min="3" max="3" width="11" bestFit="1" customWidth="1"/>
    <col min="4" max="6" width="6" bestFit="1" customWidth="1"/>
    <col min="7" max="7" width="14.5546875" customWidth="1"/>
    <col min="8" max="8" width="19.6640625" bestFit="1" customWidth="1"/>
    <col min="9" max="9" width="8.44140625" style="15" customWidth="1"/>
    <col min="11" max="11" width="10.88671875" bestFit="1" customWidth="1"/>
    <col min="13" max="13" width="18" customWidth="1"/>
    <col min="21" max="21" width="8.88671875" style="15"/>
  </cols>
  <sheetData>
    <row r="1" spans="8:22" ht="7.8" hidden="1" customHeight="1" x14ac:dyDescent="0.3">
      <c r="T1">
        <v>0</v>
      </c>
      <c r="U1" s="15">
        <v>2</v>
      </c>
    </row>
    <row r="2" spans="8:22" hidden="1" x14ac:dyDescent="0.3"/>
    <row r="3" spans="8:22" hidden="1" x14ac:dyDescent="0.3"/>
    <row r="4" spans="8:22" x14ac:dyDescent="0.3">
      <c r="I4" s="16" t="str">
        <f>"YEAR :"&amp;R25&amp;"    |     DEPARTMENT: "&amp;M6</f>
        <v>YEAR :2005    |     DEPARTMENT: OPERATION</v>
      </c>
      <c r="J4" s="8" t="str">
        <f t="shared" ref="J4:N4" si="0">"YEAR :"&amp;M6&amp;"    |     DEPARTMENT: "&amp;N6</f>
        <v xml:space="preserve">YEAR :OPERATION    |     DEPARTMENT: </v>
      </c>
      <c r="K4" s="8" t="str">
        <f t="shared" si="0"/>
        <v xml:space="preserve">YEAR :    |     DEPARTMENT: </v>
      </c>
      <c r="L4" s="8" t="str">
        <f t="shared" si="0"/>
        <v xml:space="preserve">YEAR :    |     DEPARTMENT: </v>
      </c>
      <c r="M4" s="8" t="str">
        <f t="shared" si="0"/>
        <v xml:space="preserve">YEAR :    |     DEPARTMENT: </v>
      </c>
      <c r="N4" s="8" t="str">
        <f t="shared" si="0"/>
        <v xml:space="preserve">YEAR :    |     DEPARTMENT: </v>
      </c>
      <c r="O4" s="7"/>
      <c r="P4" s="7"/>
    </row>
    <row r="5" spans="8:22" x14ac:dyDescent="0.3">
      <c r="H5" s="8"/>
      <c r="I5" s="16"/>
      <c r="J5" s="8"/>
      <c r="K5" s="8"/>
      <c r="L5" s="8" t="s">
        <v>4</v>
      </c>
      <c r="M5" s="8" t="s">
        <v>43</v>
      </c>
      <c r="N5" s="8"/>
      <c r="O5" s="7"/>
      <c r="P5" s="7"/>
    </row>
    <row r="6" spans="8:22" x14ac:dyDescent="0.3">
      <c r="H6" s="8"/>
      <c r="I6" s="16"/>
      <c r="J6" s="8"/>
      <c r="K6" s="8"/>
      <c r="L6" s="8">
        <f>R25</f>
        <v>2005</v>
      </c>
      <c r="M6" s="8" t="str">
        <f>CHOOSE(U1,"FINANCE","OPERATION","HR")</f>
        <v>OPERATION</v>
      </c>
      <c r="N6" s="8"/>
      <c r="O6" s="7"/>
      <c r="P6" s="7"/>
    </row>
    <row r="7" spans="8:22" x14ac:dyDescent="0.3">
      <c r="H7" s="8"/>
      <c r="I7" s="16"/>
      <c r="J7" s="8"/>
      <c r="K7" s="8"/>
      <c r="L7" s="8"/>
      <c r="M7" s="8"/>
      <c r="N7" s="8"/>
      <c r="O7" s="7"/>
      <c r="P7" s="7"/>
    </row>
    <row r="8" spans="8:22" x14ac:dyDescent="0.3">
      <c r="H8" s="8"/>
      <c r="I8" s="16"/>
      <c r="J8" s="8"/>
      <c r="K8" s="8"/>
      <c r="L8" s="8"/>
      <c r="M8" s="8"/>
      <c r="N8" s="8"/>
      <c r="O8" s="7"/>
      <c r="P8" s="7"/>
    </row>
    <row r="9" spans="8:22" x14ac:dyDescent="0.3">
      <c r="H9" s="8"/>
      <c r="I9" s="16"/>
      <c r="J9" s="8"/>
      <c r="K9" s="8"/>
      <c r="L9" s="8"/>
      <c r="M9" s="8"/>
      <c r="N9" s="8"/>
      <c r="O9" s="7"/>
      <c r="P9" s="7"/>
      <c r="T9">
        <v>8</v>
      </c>
      <c r="U9" s="16" t="str">
        <f t="array" ref="U9">CHOOSE(U1,Finance,Operation,HR)</f>
        <v>HARIVANSH GAUTAM</v>
      </c>
      <c r="V9" s="6"/>
    </row>
    <row r="10" spans="8:22" x14ac:dyDescent="0.3">
      <c r="H10" s="9"/>
      <c r="I10" s="17"/>
      <c r="J10" s="9"/>
      <c r="K10" s="18" t="str">
        <f>CHOOSE(U1,"FINANCE","OPERATION","HR")</f>
        <v>OPERATION</v>
      </c>
      <c r="L10" s="18"/>
      <c r="M10" s="9"/>
      <c r="N10" s="9"/>
      <c r="O10" s="7"/>
      <c r="P10" s="7"/>
      <c r="U10" s="15" t="e">
        <f t="array" ref="U10">CHOOSE(U9,Finance,Operation,HR)</f>
        <v>#VALUE!</v>
      </c>
    </row>
    <row r="11" spans="8:22" x14ac:dyDescent="0.3">
      <c r="H11" s="9" t="s">
        <v>42</v>
      </c>
      <c r="I11" s="17">
        <f t="array" aca="1" ref="I11:I21" ca="1">CHOOSE(RIGHT(L6,1),J11:J21,K11:K21,L11:L21,M11:M21,N11:N21)</f>
        <v>2005</v>
      </c>
      <c r="J11" s="9">
        <f ca="1">B18</f>
        <v>2001</v>
      </c>
      <c r="K11" s="9">
        <f t="shared" ref="K11:M11" ca="1" si="1">C18</f>
        <v>2002</v>
      </c>
      <c r="L11" s="9">
        <f t="shared" ca="1" si="1"/>
        <v>2003</v>
      </c>
      <c r="M11" s="9">
        <f t="shared" ca="1" si="1"/>
        <v>2004</v>
      </c>
      <c r="N11" s="9">
        <f ca="1">F18</f>
        <v>2005</v>
      </c>
      <c r="O11" s="7"/>
      <c r="P11" s="7"/>
    </row>
    <row r="12" spans="8:22" x14ac:dyDescent="0.3">
      <c r="H12" s="9" t="str">
        <f t="array" aca="1" ref="H12:H21" ca="1">INDIRECT(K10)</f>
        <v>HARIVANSH GAUTAM</v>
      </c>
      <c r="I12" s="17">
        <f ca="1"/>
        <v>551</v>
      </c>
      <c r="J12" s="9">
        <f ca="1">VLOOKUP('Advance KPI Dashboard '!$H12,RawData!$A$2:$AE$38,MATCH('Advance KPI Dashboard '!J$11,RawData!$A$2:$AE$2,0),FALSE)</f>
        <v>651</v>
      </c>
      <c r="K12" s="9">
        <f ca="1">VLOOKUP('Advance KPI Dashboard '!$H12,RawData!$A$2:$AE$38,MATCH('Advance KPI Dashboard '!K$11,RawData!$A$2:$AE$2,0),FALSE)</f>
        <v>421</v>
      </c>
      <c r="L12" s="9">
        <f ca="1">VLOOKUP('Advance KPI Dashboard '!$H12,RawData!$A$2:$AE$38,MATCH('Advance KPI Dashboard '!L$11,RawData!$A$2:$AE$2,0),FALSE)</f>
        <v>515</v>
      </c>
      <c r="M12" s="9">
        <f ca="1">VLOOKUP('Advance KPI Dashboard '!$H12,RawData!$A$2:$AE$38,MATCH('Advance KPI Dashboard '!M$11,RawData!$A$2:$AE$2,0),FALSE)</f>
        <v>16</v>
      </c>
      <c r="N12" s="9">
        <f ca="1">VLOOKUP('Advance KPI Dashboard '!$H12,RawData!$A$2:$AE$38,MATCH('Advance KPI Dashboard '!N$11,RawData!$A$2:$AE$2,0),FALSE)</f>
        <v>551</v>
      </c>
      <c r="O12" s="7"/>
      <c r="P12" s="7"/>
    </row>
    <row r="13" spans="8:22" x14ac:dyDescent="0.3">
      <c r="H13" s="9" t="str">
        <f ca="1"/>
        <v>VINI SAINI</v>
      </c>
      <c r="I13" s="17">
        <f ca="1"/>
        <v>392</v>
      </c>
      <c r="J13" s="9">
        <f ca="1">VLOOKUP('Advance KPI Dashboard '!$H13,RawData!$A$2:$AE$38,MATCH('Advance KPI Dashboard '!J$11,RawData!$A$2:$AE$2,0),FALSE)</f>
        <v>376</v>
      </c>
      <c r="K13" s="9">
        <f ca="1">VLOOKUP('Advance KPI Dashboard '!$H13,RawData!$A$2:$AE$38,MATCH('Advance KPI Dashboard '!K$11,RawData!$A$2:$AE$2,0),FALSE)</f>
        <v>386</v>
      </c>
      <c r="L13" s="9">
        <f ca="1">VLOOKUP('Advance KPI Dashboard '!$H13,RawData!$A$2:$AE$38,MATCH('Advance KPI Dashboard '!L$11,RawData!$A$2:$AE$2,0),FALSE)</f>
        <v>385</v>
      </c>
      <c r="M13" s="9">
        <f ca="1">VLOOKUP('Advance KPI Dashboard '!$H13,RawData!$A$2:$AE$38,MATCH('Advance KPI Dashboard '!M$11,RawData!$A$2:$AE$2,0),FALSE)</f>
        <v>326</v>
      </c>
      <c r="N13" s="9">
        <f ca="1">VLOOKUP('Advance KPI Dashboard '!$H13,RawData!$A$2:$AE$38,MATCH('Advance KPI Dashboard '!N$11,RawData!$A$2:$AE$2,0),FALSE)</f>
        <v>392</v>
      </c>
      <c r="O13" s="7"/>
      <c r="P13" s="7"/>
    </row>
    <row r="14" spans="8:22" ht="24" customHeight="1" x14ac:dyDescent="0.3">
      <c r="H14" s="9" t="str">
        <f ca="1"/>
        <v>ANAND SINGH RAJPUT</v>
      </c>
      <c r="I14" s="17">
        <f ca="1"/>
        <v>924</v>
      </c>
      <c r="J14" s="9">
        <f ca="1">VLOOKUP('Advance KPI Dashboard '!$H14,RawData!$A$2:$AE$38,MATCH('Advance KPI Dashboard '!J$11,RawData!$A$2:$AE$2,0),FALSE)</f>
        <v>865</v>
      </c>
      <c r="K14" s="9">
        <f ca="1">VLOOKUP('Advance KPI Dashboard '!$H14,RawData!$A$2:$AE$38,MATCH('Advance KPI Dashboard '!K$11,RawData!$A$2:$AE$2,0),FALSE)</f>
        <v>881</v>
      </c>
      <c r="L14" s="9">
        <f ca="1">VLOOKUP('Advance KPI Dashboard '!$H14,RawData!$A$2:$AE$38,MATCH('Advance KPI Dashboard '!L$11,RawData!$A$2:$AE$2,0),FALSE)</f>
        <v>781</v>
      </c>
      <c r="M14" s="9">
        <f ca="1">VLOOKUP('Advance KPI Dashboard '!$H14,RawData!$A$2:$AE$38,MATCH('Advance KPI Dashboard '!M$11,RawData!$A$2:$AE$2,0),FALSE)</f>
        <v>915</v>
      </c>
      <c r="N14" s="9">
        <f ca="1">VLOOKUP('Advance KPI Dashboard '!$H14,RawData!$A$2:$AE$38,MATCH('Advance KPI Dashboard '!N$11,RawData!$A$2:$AE$2,0),FALSE)</f>
        <v>924</v>
      </c>
      <c r="O14" s="7"/>
      <c r="P14" s="7"/>
    </row>
    <row r="15" spans="8:22" hidden="1" x14ac:dyDescent="0.3">
      <c r="H15" s="9" t="str">
        <f ca="1"/>
        <v>JAISHRI SAXENA</v>
      </c>
      <c r="I15" s="17">
        <f ca="1"/>
        <v>764</v>
      </c>
      <c r="J15" s="9">
        <f ca="1">VLOOKUP('Advance KPI Dashboard '!$H15,RawData!$A$2:$AE$38,MATCH('Advance KPI Dashboard '!J$11,RawData!$A$2:$AE$2,0),FALSE)</f>
        <v>439</v>
      </c>
      <c r="K15" s="9">
        <f ca="1">VLOOKUP('Advance KPI Dashboard '!$H15,RawData!$A$2:$AE$38,MATCH('Advance KPI Dashboard '!K$11,RawData!$A$2:$AE$2,0),FALSE)</f>
        <v>88</v>
      </c>
      <c r="L15" s="9">
        <f ca="1">VLOOKUP('Advance KPI Dashboard '!$H15,RawData!$A$2:$AE$38,MATCH('Advance KPI Dashboard '!L$11,RawData!$A$2:$AE$2,0),FALSE)</f>
        <v>611</v>
      </c>
      <c r="M15" s="9">
        <f ca="1">VLOOKUP('Advance KPI Dashboard '!$H15,RawData!$A$2:$AE$38,MATCH('Advance KPI Dashboard '!M$11,RawData!$A$2:$AE$2,0),FALSE)</f>
        <v>302</v>
      </c>
      <c r="N15" s="9">
        <f ca="1">VLOOKUP('Advance KPI Dashboard '!$H15,RawData!$A$2:$AE$38,MATCH('Advance KPI Dashboard '!N$11,RawData!$A$2:$AE$2,0),FALSE)</f>
        <v>764</v>
      </c>
      <c r="O15" s="7"/>
      <c r="P15" s="7"/>
    </row>
    <row r="16" spans="8:22" hidden="1" x14ac:dyDescent="0.3">
      <c r="H16" s="9" t="str">
        <f ca="1"/>
        <v>VIRENDER SROHA</v>
      </c>
      <c r="I16" s="17">
        <f ca="1"/>
        <v>130</v>
      </c>
      <c r="J16" s="9">
        <f ca="1">VLOOKUP('Advance KPI Dashboard '!$H16,RawData!$A$2:$AE$38,MATCH('Advance KPI Dashboard '!J$11,RawData!$A$2:$AE$2,0),FALSE)</f>
        <v>640</v>
      </c>
      <c r="K16" s="9">
        <f ca="1">VLOOKUP('Advance KPI Dashboard '!$H16,RawData!$A$2:$AE$38,MATCH('Advance KPI Dashboard '!K$11,RawData!$A$2:$AE$2,0),FALSE)</f>
        <v>385</v>
      </c>
      <c r="L16" s="9">
        <f ca="1">VLOOKUP('Advance KPI Dashboard '!$H16,RawData!$A$2:$AE$38,MATCH('Advance KPI Dashboard '!L$11,RawData!$A$2:$AE$2,0),FALSE)</f>
        <v>275</v>
      </c>
      <c r="M16" s="9">
        <f ca="1">VLOOKUP('Advance KPI Dashboard '!$H16,RawData!$A$2:$AE$38,MATCH('Advance KPI Dashboard '!M$11,RawData!$A$2:$AE$2,0),FALSE)</f>
        <v>36</v>
      </c>
      <c r="N16" s="9">
        <f ca="1">VLOOKUP('Advance KPI Dashboard '!$H16,RawData!$A$2:$AE$38,MATCH('Advance KPI Dashboard '!N$11,RawData!$A$2:$AE$2,0),FALSE)</f>
        <v>130</v>
      </c>
      <c r="O16" s="7"/>
      <c r="P16" s="7"/>
    </row>
    <row r="17" spans="1:19" x14ac:dyDescent="0.3">
      <c r="G17" s="8" t="str">
        <f ca="1">B18&amp; " TO "&amp;F18</f>
        <v>2001 TO 2005</v>
      </c>
      <c r="H17" s="9" t="str">
        <f ca="1"/>
        <v>SANDEEP ASWAL</v>
      </c>
      <c r="I17" s="17">
        <f ca="1"/>
        <v>525</v>
      </c>
      <c r="J17" s="9">
        <f ca="1">VLOOKUP('Advance KPI Dashboard '!$H17,RawData!$A$2:$AE$38,MATCH('Advance KPI Dashboard '!J$11,RawData!$A$2:$AE$2,0),FALSE)</f>
        <v>19</v>
      </c>
      <c r="K17" s="9">
        <f ca="1">VLOOKUP('Advance KPI Dashboard '!$H17,RawData!$A$2:$AE$38,MATCH('Advance KPI Dashboard '!K$11,RawData!$A$2:$AE$2,0),FALSE)</f>
        <v>570</v>
      </c>
      <c r="L17" s="9">
        <f ca="1">VLOOKUP('Advance KPI Dashboard '!$H17,RawData!$A$2:$AE$38,MATCH('Advance KPI Dashboard '!L$11,RawData!$A$2:$AE$2,0),FALSE)</f>
        <v>930</v>
      </c>
      <c r="M17" s="9">
        <f ca="1">VLOOKUP('Advance KPI Dashboard '!$H17,RawData!$A$2:$AE$38,MATCH('Advance KPI Dashboard '!M$11,RawData!$A$2:$AE$2,0),FALSE)</f>
        <v>995</v>
      </c>
      <c r="N17" s="9">
        <f ca="1">VLOOKUP('Advance KPI Dashboard '!$H17,RawData!$A$2:$AE$38,MATCH('Advance KPI Dashboard '!N$11,RawData!$A$2:$AE$2,0),FALSE)</f>
        <v>525</v>
      </c>
      <c r="O17" s="7"/>
      <c r="P17" s="7"/>
    </row>
    <row r="18" spans="1:19" ht="15" thickBot="1" x14ac:dyDescent="0.35">
      <c r="A18" s="11" t="s">
        <v>4</v>
      </c>
      <c r="B18" s="11">
        <f ca="1">OFFSET(RawData!A1,1,1)+$T$1</f>
        <v>2001</v>
      </c>
      <c r="C18" s="11">
        <f ca="1">OFFSET(RawData!B1,1,1)+$T$1</f>
        <v>2002</v>
      </c>
      <c r="D18" s="11">
        <f ca="1">OFFSET(RawData!C1,1,1)+$T$1</f>
        <v>2003</v>
      </c>
      <c r="E18" s="11">
        <f ca="1">OFFSET(RawData!D1,1,1)+$T$1</f>
        <v>2004</v>
      </c>
      <c r="F18" s="11">
        <f ca="1">OFFSET(RawData!E1,1,1)+$T$1</f>
        <v>2005</v>
      </c>
      <c r="H18" s="9" t="str">
        <f ca="1"/>
        <v>KARAN KAPOOR</v>
      </c>
      <c r="I18" s="17">
        <f ca="1"/>
        <v>448</v>
      </c>
      <c r="J18" s="9">
        <f ca="1">VLOOKUP('Advance KPI Dashboard '!$H18,RawData!$A$2:$AE$38,MATCH('Advance KPI Dashboard '!J$11,RawData!$A$2:$AE$2,0),FALSE)</f>
        <v>791</v>
      </c>
      <c r="K18" s="9">
        <f ca="1">VLOOKUP('Advance KPI Dashboard '!$H18,RawData!$A$2:$AE$38,MATCH('Advance KPI Dashboard '!K$11,RawData!$A$2:$AE$2,0),FALSE)</f>
        <v>794</v>
      </c>
      <c r="L18" s="9">
        <f ca="1">VLOOKUP('Advance KPI Dashboard '!$H18,RawData!$A$2:$AE$38,MATCH('Advance KPI Dashboard '!L$11,RawData!$A$2:$AE$2,0),FALSE)</f>
        <v>266</v>
      </c>
      <c r="M18" s="9">
        <f ca="1">VLOOKUP('Advance KPI Dashboard '!$H18,RawData!$A$2:$AE$38,MATCH('Advance KPI Dashboard '!M$11,RawData!$A$2:$AE$2,0),FALSE)</f>
        <v>479</v>
      </c>
      <c r="N18" s="9">
        <f ca="1">VLOOKUP('Advance KPI Dashboard '!$H18,RawData!$A$2:$AE$38,MATCH('Advance KPI Dashboard '!N$11,RawData!$A$2:$AE$2,0),FALSE)</f>
        <v>448</v>
      </c>
      <c r="O18" s="7"/>
      <c r="P18" s="7"/>
    </row>
    <row r="19" spans="1:19" ht="15.6" thickTop="1" thickBot="1" x14ac:dyDescent="0.35">
      <c r="A19" s="10" t="str">
        <f ca="1">CHOOSE($U$1,OFFSET(RawData!A2,T9,0),OFFSET(RawData!A15,T9,0),OFFSET(RawData!A28,T9,0))</f>
        <v>SUDHAKAR ARYA</v>
      </c>
      <c r="B19" s="10">
        <f ca="1">IFERROR(VLOOKUP($A$19,RawData!$A$2:$AE$38,MATCH('Advance KPI Dashboard '!B18,RawData!$A$2:$AE$2,0),FALSE),"")</f>
        <v>63</v>
      </c>
      <c r="C19" s="10">
        <f ca="1">IFERROR(VLOOKUP($A$19,RawData!$A$2:$AE$38,MATCH('Advance KPI Dashboard '!C18,RawData!$A$2:$AE$2,0),FALSE),"")</f>
        <v>622</v>
      </c>
      <c r="D19" s="10">
        <f ca="1">IFERROR(VLOOKUP($A$19,RawData!$A$2:$AE$38,MATCH('Advance KPI Dashboard '!D18,RawData!$A$2:$AE$2,0),FALSE),"")</f>
        <v>25</v>
      </c>
      <c r="E19" s="10">
        <f ca="1">IFERROR(VLOOKUP($A$19,RawData!$A$2:$AE$38,MATCH('Advance KPI Dashboard '!E18,RawData!$A$2:$AE$2,0),FALSE),"")</f>
        <v>644</v>
      </c>
      <c r="F19" s="10">
        <f ca="1">IFERROR(VLOOKUP($A$19,RawData!$A$2:$AE$38,MATCH('Advance KPI Dashboard '!F18,RawData!$A$2:$AE$2,0),FALSE),"")</f>
        <v>425</v>
      </c>
      <c r="H19" s="9" t="str">
        <f ca="1"/>
        <v>SUDHAKAR ARYA</v>
      </c>
      <c r="I19" s="17">
        <f ca="1"/>
        <v>425</v>
      </c>
      <c r="J19" s="9">
        <f ca="1">VLOOKUP('Advance KPI Dashboard '!$H19,RawData!$A$2:$AE$38,MATCH('Advance KPI Dashboard '!J$11,RawData!$A$2:$AE$2,0),FALSE)</f>
        <v>63</v>
      </c>
      <c r="K19" s="9">
        <f ca="1">VLOOKUP('Advance KPI Dashboard '!$H19,RawData!$A$2:$AE$38,MATCH('Advance KPI Dashboard '!K$11,RawData!$A$2:$AE$2,0),FALSE)</f>
        <v>622</v>
      </c>
      <c r="L19" s="9">
        <f ca="1">VLOOKUP('Advance KPI Dashboard '!$H19,RawData!$A$2:$AE$38,MATCH('Advance KPI Dashboard '!L$11,RawData!$A$2:$AE$2,0),FALSE)</f>
        <v>25</v>
      </c>
      <c r="M19" s="9">
        <f ca="1">VLOOKUP('Advance KPI Dashboard '!$H19,RawData!$A$2:$AE$38,MATCH('Advance KPI Dashboard '!M$11,RawData!$A$2:$AE$2,0),FALSE)</f>
        <v>644</v>
      </c>
      <c r="N19" s="9">
        <f ca="1">VLOOKUP('Advance KPI Dashboard '!$H19,RawData!$A$2:$AE$38,MATCH('Advance KPI Dashboard '!N$11,RawData!$A$2:$AE$2,0),FALSE)</f>
        <v>425</v>
      </c>
      <c r="O19" s="7"/>
      <c r="P19" s="7"/>
    </row>
    <row r="20" spans="1:19" ht="15.6" thickTop="1" thickBot="1" x14ac:dyDescent="0.35">
      <c r="A20" s="10" t="s">
        <v>34</v>
      </c>
      <c r="B20" s="10">
        <f ca="1">B19+RANDBETWEEN(0,100)</f>
        <v>76</v>
      </c>
      <c r="C20" s="10">
        <f t="shared" ref="C20:F20" ca="1" si="2">C19+RANDBETWEEN(0,100)</f>
        <v>640</v>
      </c>
      <c r="D20" s="10">
        <f t="shared" ca="1" si="2"/>
        <v>114</v>
      </c>
      <c r="E20" s="10">
        <f t="shared" ca="1" si="2"/>
        <v>644</v>
      </c>
      <c r="F20" s="10">
        <f t="shared" ca="1" si="2"/>
        <v>473</v>
      </c>
      <c r="H20" s="9" t="str">
        <f ca="1"/>
        <v>ARJUN SHAW</v>
      </c>
      <c r="I20" s="17">
        <f ca="1"/>
        <v>100</v>
      </c>
      <c r="J20" s="9">
        <f ca="1">VLOOKUP('Advance KPI Dashboard '!$H20,RawData!$A$2:$AE$38,MATCH('Advance KPI Dashboard '!J$11,RawData!$A$2:$AE$2,0),FALSE)</f>
        <v>922</v>
      </c>
      <c r="K20" s="9">
        <f ca="1">VLOOKUP('Advance KPI Dashboard '!$H20,RawData!$A$2:$AE$38,MATCH('Advance KPI Dashboard '!K$11,RawData!$A$2:$AE$2,0),FALSE)</f>
        <v>850</v>
      </c>
      <c r="L20" s="9">
        <f ca="1">VLOOKUP('Advance KPI Dashboard '!$H20,RawData!$A$2:$AE$38,MATCH('Advance KPI Dashboard '!L$11,RawData!$A$2:$AE$2,0),FALSE)</f>
        <v>482</v>
      </c>
      <c r="M20" s="9">
        <f ca="1">VLOOKUP('Advance KPI Dashboard '!$H20,RawData!$A$2:$AE$38,MATCH('Advance KPI Dashboard '!M$11,RawData!$A$2:$AE$2,0),FALSE)</f>
        <v>491</v>
      </c>
      <c r="N20" s="9">
        <f ca="1">VLOOKUP('Advance KPI Dashboard '!$H20,RawData!$A$2:$AE$38,MATCH('Advance KPI Dashboard '!N$11,RawData!$A$2:$AE$2,0),FALSE)</f>
        <v>100</v>
      </c>
      <c r="O20" s="7"/>
      <c r="P20" s="7"/>
    </row>
    <row r="21" spans="1:19" ht="15" thickTop="1" x14ac:dyDescent="0.3">
      <c r="H21" s="9" t="str">
        <f ca="1"/>
        <v>MANPREET KAUR</v>
      </c>
      <c r="I21" s="17">
        <f ca="1"/>
        <v>146</v>
      </c>
      <c r="J21" s="9">
        <f ca="1">VLOOKUP('Advance KPI Dashboard '!$H21,RawData!$A$2:$AE$38,MATCH('Advance KPI Dashboard '!J$11,RawData!$A$2:$AE$2,0),FALSE)</f>
        <v>584</v>
      </c>
      <c r="K21" s="9">
        <f ca="1">VLOOKUP('Advance KPI Dashboard '!$H21,RawData!$A$2:$AE$38,MATCH('Advance KPI Dashboard '!K$11,RawData!$A$2:$AE$2,0),FALSE)</f>
        <v>827</v>
      </c>
      <c r="L21" s="9">
        <f ca="1">VLOOKUP('Advance KPI Dashboard '!$H21,RawData!$A$2:$AE$38,MATCH('Advance KPI Dashboard '!L$11,RawData!$A$2:$AE$2,0),FALSE)</f>
        <v>115</v>
      </c>
      <c r="M21" s="9">
        <f ca="1">VLOOKUP('Advance KPI Dashboard '!$H21,RawData!$A$2:$AE$38,MATCH('Advance KPI Dashboard '!M$11,RawData!$A$2:$AE$2,0),FALSE)</f>
        <v>891</v>
      </c>
      <c r="N21" s="9">
        <f ca="1">VLOOKUP('Advance KPI Dashboard '!$H21,RawData!$A$2:$AE$38,MATCH('Advance KPI Dashboard '!N$11,RawData!$A$2:$AE$2,0),FALSE)</f>
        <v>146</v>
      </c>
      <c r="O21" s="7"/>
      <c r="P21" s="7"/>
    </row>
    <row r="22" spans="1:19" ht="15" thickBot="1" x14ac:dyDescent="0.35">
      <c r="J22" s="7"/>
      <c r="K22" s="7"/>
      <c r="L22" s="7"/>
      <c r="M22" s="7"/>
      <c r="N22" s="7"/>
      <c r="O22" s="7"/>
      <c r="P22" s="7"/>
    </row>
    <row r="23" spans="1:19" ht="15" thickBot="1" x14ac:dyDescent="0.35">
      <c r="A23" s="13" t="s">
        <v>4</v>
      </c>
      <c r="B23" s="11">
        <f ca="1">OFFSET(RawData!A1,1,1)+$T$1</f>
        <v>2001</v>
      </c>
      <c r="C23" s="11">
        <f ca="1">OFFSET(RawData!B1,1,1)+$T$1</f>
        <v>2002</v>
      </c>
      <c r="D23" s="11">
        <f ca="1">OFFSET(RawData!C1,1,1)+$T$1</f>
        <v>2003</v>
      </c>
      <c r="E23" s="11">
        <f ca="1">OFFSET(RawData!D1,1,1)+$T$1</f>
        <v>2004</v>
      </c>
      <c r="F23" s="11">
        <f ca="1">OFFSET(RawData!E1,1,1)+$T$1</f>
        <v>2005</v>
      </c>
      <c r="G23" s="12" t="s">
        <v>38</v>
      </c>
      <c r="J23" s="7"/>
      <c r="K23" s="7"/>
      <c r="L23" s="7"/>
      <c r="M23" s="7"/>
      <c r="N23" s="7"/>
      <c r="O23" s="7"/>
      <c r="P23" s="7"/>
      <c r="R23" s="19" t="s">
        <v>4</v>
      </c>
      <c r="S23" s="20"/>
    </row>
    <row r="24" spans="1:19" ht="15.6" thickTop="1" thickBot="1" x14ac:dyDescent="0.35">
      <c r="A24" s="13" t="s">
        <v>35</v>
      </c>
      <c r="B24" s="5">
        <f t="shared" ref="B24:F26" ca="1" si="3">SUMPRODUCT((Year=B$23)*INDIRECT($A24&amp;"_"&amp;"Data"))</f>
        <v>6281</v>
      </c>
      <c r="C24" s="5">
        <f t="shared" ca="1" si="3"/>
        <v>5000</v>
      </c>
      <c r="D24" s="5">
        <f t="shared" ca="1" si="3"/>
        <v>5466</v>
      </c>
      <c r="E24" s="5">
        <f t="shared" ca="1" si="3"/>
        <v>5326</v>
      </c>
      <c r="F24" s="5">
        <f t="shared" ca="1" si="3"/>
        <v>4001</v>
      </c>
      <c r="G24" s="5">
        <f ca="1">SUM(B24:F24)</f>
        <v>26074</v>
      </c>
      <c r="J24" s="7"/>
      <c r="K24" s="7"/>
      <c r="L24" s="7"/>
      <c r="M24" s="7"/>
      <c r="N24" s="7"/>
      <c r="O24" s="7"/>
      <c r="P24" s="7"/>
      <c r="R24" s="21"/>
      <c r="S24" s="22"/>
    </row>
    <row r="25" spans="1:19" ht="15.6" thickTop="1" thickBot="1" x14ac:dyDescent="0.35">
      <c r="A25" s="13" t="s">
        <v>36</v>
      </c>
      <c r="B25" s="5">
        <f t="shared" ca="1" si="3"/>
        <v>4804</v>
      </c>
      <c r="C25" s="5">
        <f t="shared" ca="1" si="3"/>
        <v>5020</v>
      </c>
      <c r="D25" s="5">
        <f t="shared" ca="1" si="3"/>
        <v>4075</v>
      </c>
      <c r="E25" s="5">
        <f t="shared" ca="1" si="3"/>
        <v>5356</v>
      </c>
      <c r="F25" s="5">
        <f t="shared" ca="1" si="3"/>
        <v>4964</v>
      </c>
      <c r="G25" s="5">
        <f t="shared" ref="G25:G26" ca="1" si="4">SUM(B25:F25)</f>
        <v>24219</v>
      </c>
      <c r="J25" s="7"/>
      <c r="K25" s="7"/>
      <c r="L25" s="7"/>
      <c r="M25" s="7"/>
      <c r="N25" s="7"/>
      <c r="O25" s="7"/>
      <c r="P25" s="7"/>
      <c r="R25" s="23">
        <v>2005</v>
      </c>
      <c r="S25" s="24"/>
    </row>
    <row r="26" spans="1:19" ht="15.6" thickTop="1" thickBot="1" x14ac:dyDescent="0.35">
      <c r="A26" s="13" t="s">
        <v>3</v>
      </c>
      <c r="B26" s="5">
        <f t="shared" ca="1" si="3"/>
        <v>6353</v>
      </c>
      <c r="C26" s="5">
        <f t="shared" ca="1" si="3"/>
        <v>4143</v>
      </c>
      <c r="D26" s="5">
        <f t="shared" ca="1" si="3"/>
        <v>4621</v>
      </c>
      <c r="E26" s="5">
        <f t="shared" ca="1" si="3"/>
        <v>5428</v>
      </c>
      <c r="F26" s="5">
        <f t="shared" ca="1" si="3"/>
        <v>5728</v>
      </c>
      <c r="G26" s="5">
        <f t="shared" ca="1" si="4"/>
        <v>26273</v>
      </c>
      <c r="R26" s="25"/>
      <c r="S26" s="26"/>
    </row>
    <row r="27" spans="1:19" ht="15.6" thickTop="1" thickBot="1" x14ac:dyDescent="0.35">
      <c r="A27" s="13" t="s">
        <v>37</v>
      </c>
      <c r="B27" s="5">
        <f ca="1">SUM(B24:B26)</f>
        <v>17438</v>
      </c>
      <c r="C27" s="5">
        <f ca="1">SUM(C24:C26)</f>
        <v>14163</v>
      </c>
      <c r="D27" s="5">
        <f t="shared" ref="D27:G27" ca="1" si="5">SUM(D24:D26)</f>
        <v>14162</v>
      </c>
      <c r="E27" s="5">
        <f t="shared" ca="1" si="5"/>
        <v>16110</v>
      </c>
      <c r="F27" s="5">
        <f t="shared" ca="1" si="5"/>
        <v>14693</v>
      </c>
      <c r="G27" s="12">
        <f t="shared" ca="1" si="5"/>
        <v>76566</v>
      </c>
    </row>
    <row r="28" spans="1:19" ht="15" thickTop="1" x14ac:dyDescent="0.3"/>
    <row r="29" spans="1:19" ht="15" thickBot="1" x14ac:dyDescent="0.35">
      <c r="A29" s="11" t="s">
        <v>4</v>
      </c>
      <c r="B29" s="11" t="str">
        <f t="array" ref="B29:D34">TRANSPOSE(A24:F27)</f>
        <v>FINANCE</v>
      </c>
      <c r="C29" s="11" t="str">
        <v>OPERATION</v>
      </c>
      <c r="D29" s="11" t="str">
        <v>HR</v>
      </c>
      <c r="E29" s="12" t="s">
        <v>39</v>
      </c>
      <c r="F29" s="12" t="s">
        <v>40</v>
      </c>
      <c r="G29" s="12" t="s">
        <v>41</v>
      </c>
    </row>
    <row r="30" spans="1:19" ht="15.6" thickTop="1" thickBot="1" x14ac:dyDescent="0.35">
      <c r="A30" s="11">
        <f t="array" aca="1" ref="A30:A34" ca="1">TRANSPOSE(B23:F23)</f>
        <v>2001</v>
      </c>
      <c r="B30" s="5">
        <f ca="1"/>
        <v>6281</v>
      </c>
      <c r="C30" s="5">
        <f ca="1"/>
        <v>4804</v>
      </c>
      <c r="D30" s="5">
        <f ca="1"/>
        <v>6353</v>
      </c>
      <c r="E30" s="5"/>
      <c r="F30" s="5"/>
      <c r="G30" s="14">
        <f ca="1">AVERAGE(B30:D30)</f>
        <v>5812.666666666667</v>
      </c>
    </row>
    <row r="31" spans="1:19" ht="15.6" thickTop="1" thickBot="1" x14ac:dyDescent="0.35">
      <c r="A31" s="11">
        <f ca="1"/>
        <v>2002</v>
      </c>
      <c r="B31" s="5">
        <f ca="1"/>
        <v>5000</v>
      </c>
      <c r="C31" s="5">
        <f ca="1"/>
        <v>5020</v>
      </c>
      <c r="D31" s="5">
        <f ca="1"/>
        <v>4143</v>
      </c>
      <c r="E31" s="5"/>
      <c r="F31" s="5"/>
      <c r="G31" s="14">
        <f t="shared" ref="G31:G34" ca="1" si="6">AVERAGE(B31:D31)</f>
        <v>4721</v>
      </c>
    </row>
    <row r="32" spans="1:19" ht="15.6" thickTop="1" thickBot="1" x14ac:dyDescent="0.35">
      <c r="A32" s="11">
        <f ca="1"/>
        <v>2003</v>
      </c>
      <c r="B32" s="5">
        <f ca="1"/>
        <v>5466</v>
      </c>
      <c r="C32" s="5">
        <f ca="1"/>
        <v>4075</v>
      </c>
      <c r="D32" s="5">
        <f ca="1"/>
        <v>4621</v>
      </c>
      <c r="E32" s="5"/>
      <c r="F32" s="5"/>
      <c r="G32" s="14">
        <f t="shared" ca="1" si="6"/>
        <v>4720.666666666667</v>
      </c>
    </row>
    <row r="33" spans="1:7" ht="15.6" thickTop="1" thickBot="1" x14ac:dyDescent="0.35">
      <c r="A33" s="11">
        <f ca="1"/>
        <v>2004</v>
      </c>
      <c r="B33" s="5">
        <f ca="1"/>
        <v>5326</v>
      </c>
      <c r="C33" s="5">
        <f ca="1"/>
        <v>5356</v>
      </c>
      <c r="D33" s="5">
        <f ca="1"/>
        <v>5428</v>
      </c>
      <c r="E33" s="5"/>
      <c r="F33" s="5"/>
      <c r="G33" s="14">
        <f t="shared" ca="1" si="6"/>
        <v>5370</v>
      </c>
    </row>
    <row r="34" spans="1:7" ht="15.6" thickTop="1" thickBot="1" x14ac:dyDescent="0.35">
      <c r="A34" s="11">
        <f ca="1"/>
        <v>2005</v>
      </c>
      <c r="B34" s="5">
        <f ca="1"/>
        <v>4001</v>
      </c>
      <c r="C34" s="5">
        <f ca="1"/>
        <v>4964</v>
      </c>
      <c r="D34" s="5">
        <f ca="1"/>
        <v>5728</v>
      </c>
      <c r="E34" s="5"/>
      <c r="F34" s="5"/>
      <c r="G34" s="14">
        <f t="shared" ca="1" si="6"/>
        <v>4897.666666666667</v>
      </c>
    </row>
    <row r="35" spans="1:7" ht="15" thickTop="1" x14ac:dyDescent="0.3"/>
  </sheetData>
  <mergeCells count="3">
    <mergeCell ref="K10:L10"/>
    <mergeCell ref="R23:S24"/>
    <mergeCell ref="R25:S26"/>
  </mergeCells>
  <conditionalFormatting sqref="G30:G34">
    <cfRule type="dataBar" priority="1">
      <dataBar showValue="0"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{6FA64F8C-98F3-4813-BD01-F36765C237FD}</x14:id>
        </ext>
      </extLst>
    </cfRule>
  </conditionalFormatting>
  <dataValidations count="2">
    <dataValidation type="list" allowBlank="1" showInputMessage="1" showErrorMessage="1" sqref="L6" xr:uid="{A1C9FBAE-4784-4393-B805-5C53B93B7718}">
      <formula1>$J$11:$N$11</formula1>
    </dataValidation>
    <dataValidation type="list" allowBlank="1" showInputMessage="1" showErrorMessage="1" sqref="R25:S26" xr:uid="{F6ED7658-BD71-4520-BA6F-C33B991559FD}">
      <formula1>$B$23:$F$23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Option Button 1">
              <controlPr defaultSize="0" autoFill="0" autoLine="0" autoPict="0">
                <anchor moveWithCells="1">
                  <from>
                    <xdr:col>7</xdr:col>
                    <xdr:colOff>365760</xdr:colOff>
                    <xdr:row>3</xdr:row>
                    <xdr:rowOff>175260</xdr:rowOff>
                  </from>
                  <to>
                    <xdr:col>7</xdr:col>
                    <xdr:colOff>1150620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7</xdr:col>
                    <xdr:colOff>373380</xdr:colOff>
                    <xdr:row>7</xdr:row>
                    <xdr:rowOff>91440</xdr:rowOff>
                  </from>
                  <to>
                    <xdr:col>7</xdr:col>
                    <xdr:colOff>1158240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 moveWithCells="1">
                  <from>
                    <xdr:col>7</xdr:col>
                    <xdr:colOff>381000</xdr:colOff>
                    <xdr:row>10</xdr:row>
                    <xdr:rowOff>99060</xdr:rowOff>
                  </from>
                  <to>
                    <xdr:col>7</xdr:col>
                    <xdr:colOff>1165860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Drop Down 5">
              <controlPr defaultSize="0" autoLine="0" autoPict="0">
                <anchor moveWithCells="1">
                  <from>
                    <xdr:col>7</xdr:col>
                    <xdr:colOff>167640</xdr:colOff>
                    <xdr:row>16</xdr:row>
                    <xdr:rowOff>160020</xdr:rowOff>
                  </from>
                  <to>
                    <xdr:col>8</xdr:col>
                    <xdr:colOff>76200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Scroll Bar 6">
              <controlPr defaultSize="0" autoPict="0">
                <anchor moveWithCells="1">
                  <from>
                    <xdr:col>0</xdr:col>
                    <xdr:colOff>769620</xdr:colOff>
                    <xdr:row>16</xdr:row>
                    <xdr:rowOff>15240</xdr:rowOff>
                  </from>
                  <to>
                    <xdr:col>4</xdr:col>
                    <xdr:colOff>114300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A64F8C-98F3-4813-BD01-F36765C237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G30:G34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DCB5759D-648E-4D87-97A5-18D44A58AC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'Advance KPI Dashboard '!B30:D30</xm:f>
              <xm:sqref>E30</xm:sqref>
            </x14:sparkline>
            <x14:sparkline>
              <xm:f>'Advance KPI Dashboard '!B31:D31</xm:f>
              <xm:sqref>E31</xm:sqref>
            </x14:sparkline>
            <x14:sparkline>
              <xm:f>'Advance KPI Dashboard '!B32:D32</xm:f>
              <xm:sqref>E32</xm:sqref>
            </x14:sparkline>
            <x14:sparkline>
              <xm:f>'Advance KPI Dashboard '!B33:D33</xm:f>
              <xm:sqref>E33</xm:sqref>
            </x14:sparkline>
            <x14:sparkline>
              <xm:f>'Advance KPI Dashboard '!B34:D34</xm:f>
              <xm:sqref>E34</xm:sqref>
            </x14:sparkline>
          </x14:sparklines>
        </x14:sparklineGroup>
        <x14:sparklineGroup type="column" displayEmptyCellsAs="gap" xr2:uid="{5B307696-DD72-4C3B-8903-7CB7257B5AC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'Advance KPI Dashboard '!B30:D30</xm:f>
              <xm:sqref>F30</xm:sqref>
            </x14:sparkline>
            <x14:sparkline>
              <xm:f>'Advance KPI Dashboard '!B31:D31</xm:f>
              <xm:sqref>F31</xm:sqref>
            </x14:sparkline>
            <x14:sparkline>
              <xm:f>'Advance KPI Dashboard '!B32:D32</xm:f>
              <xm:sqref>F32</xm:sqref>
            </x14:sparkline>
            <x14:sparkline>
              <xm:f>'Advance KPI Dashboard '!B33:D33</xm:f>
              <xm:sqref>F33</xm:sqref>
            </x14:sparkline>
            <x14:sparkline>
              <xm:f>'Advance KPI Dashboard '!B34:D34</xm:f>
              <xm:sqref>F34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RawData</vt:lpstr>
      <vt:lpstr>Advance KPI Dashboard </vt:lpstr>
      <vt:lpstr>emppp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ashokgupta9966@gmail.com</cp:lastModifiedBy>
  <dcterms:created xsi:type="dcterms:W3CDTF">2019-05-31T03:20:43Z</dcterms:created>
  <dcterms:modified xsi:type="dcterms:W3CDTF">2021-11-21T19:57:21Z</dcterms:modified>
</cp:coreProperties>
</file>